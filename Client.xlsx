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Warga TS" sheetId="2" r:id="rId6"/>
    <sheet state="visible" name="Laporan Sampah Warga TS" sheetId="3" r:id="rId7"/>
    <sheet state="visible" name="Warga BS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2">
      <text>
        <t xml:space="preserve">Kompos Per Periode Langganan
5 kg Kompos
5 kg : Oktober Akhir</t>
      </text>
    </comment>
    <comment authorId="0" ref="J9">
      <text>
        <t xml:space="preserve">Kompos Per Periode Langganan
5 kg Kompos
5 kg : Agustus ✅</t>
      </text>
    </comment>
    <comment authorId="0" ref="J40">
      <text>
        <t xml:space="preserve">Kompos Per Periode Langganan
5 kg Kompos
5 kg : Oktober</t>
      </text>
    </comment>
    <comment authorId="0" ref="J7">
      <text>
        <t xml:space="preserve">Kompos Per Periode Langganan
20 kg Kompos
5 kg : Agustus✅
5 kg : November
5 kg : Februari
5 kg : Mei</t>
      </text>
    </comment>
    <comment authorId="0" ref="J38">
      <text>
        <t xml:space="preserve">Kompos Per Periode Langganan
5 kg Kompos
5 kg : Oktober Akhir</t>
      </text>
    </comment>
    <comment authorId="0" ref="J5">
      <text>
        <t xml:space="preserve">Kompos Per Periode Langganan
5 kg Kompos
5 kg : September
 </t>
      </text>
    </comment>
    <comment authorId="0" ref="J36">
      <text>
        <t xml:space="preserve">Kompos Per Periode Langganan
15 kg Kompos
5 kg : Juli ✅
5 kg : Oktober
5 kg : Januari
</t>
      </text>
    </comment>
    <comment authorId="0" ref="J34">
      <text>
        <t xml:space="preserve">Kompos Per Periode Langganan
10 kg Kompos
5 kg : Juli ✅
5 kg : Oktober</t>
      </text>
    </comment>
    <comment authorId="0" ref="J32">
      <text>
        <t xml:space="preserve">Kompos Per Periode Langganan
5 kg Kompos
5 kg : Oktober Akhir</t>
      </text>
    </comment>
    <comment authorId="0" ref="J30">
      <text>
        <t xml:space="preserve">Kompos Per Periode Langganan
5 kg Kompos
5 kg : Oktober Akhir</t>
      </text>
    </comment>
    <comment authorId="0" ref="J28">
      <text>
        <t xml:space="preserve">Kompos Per Periode Langganan
5 kg Kompos
5 kg : September Akhir</t>
      </text>
    </comment>
    <comment authorId="0" ref="J26">
      <text>
        <t xml:space="preserve">Kompos Per Periode Langganan
5 kg Kompos
5 kg : Agustus ✅
5 kg : November
</t>
      </text>
    </comment>
    <comment authorId="0" ref="J24">
      <text>
        <t xml:space="preserve">Kompos Per Periode Langganan
10 kg Kompos
5 kg : Juli
5 kg : Oktober</t>
      </text>
    </comment>
    <comment authorId="0" ref="J51">
      <text>
        <t xml:space="preserve">Kompos Per Periode Langganan
25 kg/bulan Kompos
diambil : November</t>
      </text>
    </comment>
    <comment authorId="0" ref="J18">
      <text>
        <t xml:space="preserve">Kompos Per Periode Langganan
5 kg Kompos
5 kg : Oktober</t>
      </text>
    </comment>
    <comment authorId="0" ref="J16">
      <text>
        <t xml:space="preserve">Kompos Per Periode Langganan
10 kg kompos
5 kg : Juli ✅
5 kg : Oktober
</t>
      </text>
    </comment>
    <comment authorId="0" ref="J47">
      <text>
        <t xml:space="preserve">Kompos Per Periode Langganan
5 kg Kompos
5 kg : September Akhir</t>
      </text>
    </comment>
    <comment authorId="0" ref="J14">
      <text>
        <t xml:space="preserve">Kompos Per Periode Langganan
5 kg Kompos
5 kg : Oktober Akhir</t>
      </text>
    </comment>
    <comment authorId="0" ref="J45">
      <text>
        <t xml:space="preserve">Kompos Per Periode Langganan
10 kg Kompos
5 kg : Oktober
5 kg : Januari</t>
      </text>
    </comment>
    <comment authorId="0" ref="J12">
      <text>
        <t xml:space="preserve">Kompos Per Periode Langganan
5 kg Kompos
5 kg : Oktober Akhir</t>
      </text>
    </comment>
    <comment authorId="0" ref="J10">
      <text>
        <t xml:space="preserve">Kompos Per Periode Langganan
5 kg Kompos
5 kg : Oktober</t>
      </text>
    </comment>
    <comment authorId="0" ref="J41">
      <text>
        <t xml:space="preserve">Kompos Per Periode Langganan
5 kg Kompos
5 kg : Oktober Akhir</t>
      </text>
    </comment>
    <comment authorId="0" ref="J8">
      <text>
        <t xml:space="preserve">Kompos Per Periode Langganan
5 kg Kompos
5 kg : Oktober Akhir</t>
      </text>
    </comment>
    <comment authorId="0" ref="J39">
      <text>
        <t xml:space="preserve">Kompos Per Periode Langganan
5 kg Kompos
5 kg : Oktober</t>
      </text>
    </comment>
    <comment authorId="0" ref="J6">
      <text>
        <t xml:space="preserve">Kompos Per Periode Langganan
5 kg Kompos
5 kg : Oktober Akhir</t>
      </text>
    </comment>
    <comment authorId="0" ref="J37">
      <text>
        <t xml:space="preserve">Kompos Per Periode Langganan
10 kg Kompos
5 kg : Agustus ✅
5 kg : November
</t>
      </text>
    </comment>
    <comment authorId="0" ref="J4">
      <text>
        <t xml:space="preserve">Kompos Per Periode Langganan
5 kg Kompos
5 kg : Oktober</t>
      </text>
    </comment>
    <comment authorId="0" ref="J35">
      <text>
        <t xml:space="preserve">Kompos Per Periode Langganan
5 kg Kompos
5 kg : Oktober Akhir
</t>
      </text>
    </comment>
    <comment authorId="0" ref="J33">
      <text>
        <t xml:space="preserve">Kompos Per Periode Langganan
5 kg Kompos
5 kg : September Akhir</t>
      </text>
    </comment>
    <comment authorId="0" ref="J31">
      <text>
        <t xml:space="preserve">Kompos Per Periode Langganan
5 kg Kompos
5 kg : Oktober Akhir</t>
      </text>
    </comment>
    <comment authorId="0" ref="J29">
      <text>
        <t xml:space="preserve">Kompos Per Periode Langganan
5 kg Kompos
5 kg : September Akhir</t>
      </text>
    </comment>
    <comment authorId="0" ref="J27">
      <text>
        <t xml:space="preserve">Kompos Per Periode Langganan
5 kg Kompos
5 kg : Agustus ✅</t>
      </text>
    </comment>
    <comment authorId="0" ref="J25">
      <text>
        <t xml:space="preserve">Kompos Per Periode Langganan
10 kg Kompos
5 kg : Agustus ✅
5 kg : November</t>
      </text>
    </comment>
    <comment authorId="0" ref="J23">
      <text>
        <t xml:space="preserve">Kompos Per Periode Langganan
5 kg Kompos
5 kg : Oktober Akhir</t>
      </text>
    </comment>
    <comment authorId="0" ref="J52">
      <text>
        <t xml:space="preserve">Kompos Per Periode Langganan
25 kg/bulan Kompos
diambil : November</t>
      </text>
    </comment>
    <comment authorId="0" ref="J17">
      <text>
        <t xml:space="preserve">Kompos Per Periode Langganan
10 kg kompos
5 kg : Agustus ✅
5 kg : Oktober</t>
      </text>
    </comment>
    <comment authorId="0" ref="J48">
      <text>
        <t xml:space="preserve">Kompos Per Periode Langganan
5 kg Kompos
5 kg : Oktober Akhir</t>
      </text>
    </comment>
    <comment authorId="0" ref="J15">
      <text>
        <t xml:space="preserve">Kompos Per Periode Langganan
5 kg Kompos
5 kg : Oktober Akhir</t>
      </text>
    </comment>
    <comment authorId="0" ref="J13">
      <text>
        <t xml:space="preserve">Kompos Per Periode Langganan
5 kg Kompos
5 kg : Oktober Akhir</t>
      </text>
    </comment>
    <comment authorId="0" ref="J11">
      <text>
        <t xml:space="preserve">Kompos Per Periode Langganan
5 kg Kompos
5 kg : Oktober Akhir</t>
      </text>
    </comment>
  </commentList>
</comments>
</file>

<file path=xl/sharedStrings.xml><?xml version="1.0" encoding="utf-8"?>
<sst xmlns="http://schemas.openxmlformats.org/spreadsheetml/2006/main" count="1666" uniqueCount="955">
  <si>
    <t>NO</t>
  </si>
  <si>
    <t>Warga BSS</t>
  </si>
  <si>
    <t>Nama</t>
  </si>
  <si>
    <t>No</t>
  </si>
  <si>
    <t>Sampah Agustus 2026</t>
  </si>
  <si>
    <t>Tanggal Setor Sampah/ Jumlah Sampah (Kg)</t>
  </si>
  <si>
    <t>Total Agustus</t>
  </si>
  <si>
    <t>Sampah September 2026</t>
  </si>
  <si>
    <t>Total Sampah</t>
  </si>
  <si>
    <t>Tarif Per-Kg</t>
  </si>
  <si>
    <t>Total Pembayaran</t>
  </si>
  <si>
    <t>Status Bayar</t>
  </si>
  <si>
    <t>Tanggal Pelunasan</t>
  </si>
  <si>
    <t>Minggu 1</t>
  </si>
  <si>
    <t>Minggu 2</t>
  </si>
  <si>
    <t>Minggu 3</t>
  </si>
  <si>
    <t>Minggu 4</t>
  </si>
  <si>
    <t xml:space="preserve">Total  </t>
  </si>
  <si>
    <t>Yaumi</t>
  </si>
  <si>
    <t>Rata-Rata</t>
  </si>
  <si>
    <t>13/08/2026</t>
  </si>
  <si>
    <t>Timestamp</t>
  </si>
  <si>
    <t>M1 ( 4, 5 Agustus)</t>
  </si>
  <si>
    <t>M2 ( 12 Agustus)</t>
  </si>
  <si>
    <t>Email</t>
  </si>
  <si>
    <t>Nomor HP/ WA</t>
  </si>
  <si>
    <t xml:space="preserve">Nomor whatsapp
Nomor akan digunakan sebagai kontak utama untuk konfirmasi berlangganan dan pembayaran </t>
  </si>
  <si>
    <t>Amaliah</t>
  </si>
  <si>
    <t>Alamat Lengkap</t>
  </si>
  <si>
    <t>Alamat lengkap
Contoh: Jl. Mallengkeri, Mangasa, Kec. Tamalate, Kota Makassar, Sulawesi Selatan</t>
  </si>
  <si>
    <t>Awal Berlangganan</t>
  </si>
  <si>
    <t>Link Gmaps
Lebih baik ada link google maps untuk memudahkan penjemputan</t>
  </si>
  <si>
    <t>Mulai Periode (*perbaharui)</t>
  </si>
  <si>
    <t>Langganan</t>
  </si>
  <si>
    <t>Durasi Langganan (per-bulan)</t>
  </si>
  <si>
    <t>Tau “Tumpuk Sampah” dari mana?</t>
  </si>
  <si>
    <t>Harga Perbulan</t>
  </si>
  <si>
    <t>Mau tau! Alasanmu kenapa ikut langganan?</t>
  </si>
  <si>
    <t>Tanggal JATUH TEMPO LANGGANAN</t>
  </si>
  <si>
    <t xml:space="preserve">Tumpuk saranmu disini! </t>
  </si>
  <si>
    <t>Reward (KOMPOS) / 3 bulan (Agustus)</t>
  </si>
  <si>
    <t>Apakah kamu punya masalah soal persampahan di tempat kamu tinggal?</t>
  </si>
  <si>
    <t>Link Google Maps</t>
  </si>
  <si>
    <t>Idha Riu</t>
  </si>
  <si>
    <t>Pekerjaan</t>
  </si>
  <si>
    <t>Jadwal Penjemputan Sampah</t>
  </si>
  <si>
    <t>Jumlah orang dalam rumah</t>
  </si>
  <si>
    <t>Column 1</t>
  </si>
  <si>
    <t>Column 2</t>
  </si>
  <si>
    <t>Lunas</t>
  </si>
  <si>
    <t>Astria</t>
  </si>
  <si>
    <t>astriabapas@gmail.com</t>
  </si>
  <si>
    <t>085299763475</t>
  </si>
  <si>
    <t>085241976115</t>
  </si>
  <si>
    <t>Perumahan Bumi Aroepala BlokB9</t>
  </si>
  <si>
    <t xml:space="preserve">Perumahan Grand Pattalassang, Blok A No. 15, Kecamatan Pattalassang, Kabupaten Gowa, Sulawesi Selatan </t>
  </si>
  <si>
    <t>https://maps.app.goo.gl/LUj8FGeSskG3jWH98?g_st=aw</t>
  </si>
  <si>
    <t>Ria Rumah</t>
  </si>
  <si>
    <t>https://maps.google.com/?q=-5.214769,119.558273</t>
  </si>
  <si>
    <t>3 Bulan</t>
  </si>
  <si>
    <t>Instagram</t>
  </si>
  <si>
    <t xml:space="preserve">Saya punya anak2, saya harap mereka bisa punya akses untuk belajar dan melihat proses pengolahan sampah organik </t>
  </si>
  <si>
    <t>Ria Toko (artani)</t>
  </si>
  <si>
    <t>amaliah.mutmainnah.20@gmail.com</t>
  </si>
  <si>
    <t>-</t>
  </si>
  <si>
    <t>Aliyah Muthmainnah</t>
  </si>
  <si>
    <t>089695658349</t>
  </si>
  <si>
    <t>Jl. Boulevard Perumahan Lili Blok J no 17 Makassar</t>
  </si>
  <si>
    <t>Dila</t>
  </si>
  <si>
    <t>Belum Ada</t>
  </si>
  <si>
    <t>10,1 Kg</t>
  </si>
  <si>
    <t>sachiko</t>
  </si>
  <si>
    <t>arsakhanindya@gmail.com</t>
  </si>
  <si>
    <t>08114405142</t>
  </si>
  <si>
    <t>https://maps.app.goo.gl/BxBiT3p1B57yWwz78</t>
  </si>
  <si>
    <t>Khadijah</t>
  </si>
  <si>
    <t>sunu 2 no 49</t>
  </si>
  <si>
    <t>https://maps.app.goo.gl/JGxwWkTXSRG4Sbzu9?g_st=com.google.maps.preview.copy</t>
  </si>
  <si>
    <t>alymuthmainnah@gmail.com</t>
  </si>
  <si>
    <t>Azizah / IIS</t>
  </si>
  <si>
    <t>belum coba jadi belum bisa kasih saran</t>
  </si>
  <si>
    <t>Ulfa</t>
  </si>
  <si>
    <t>Saifullah munawar</t>
  </si>
  <si>
    <t>085397718523</t>
  </si>
  <si>
    <t>ifulcenterm@gmail.com</t>
  </si>
  <si>
    <t>082349407408</t>
  </si>
  <si>
    <t>Perumahan Bumi Pariwisata Blok B No 13, Jl. Pariwisata Macanda, Kel. Tamarunang, Kec. Somba Opu, Kan. Gowa</t>
  </si>
  <si>
    <t xml:space="preserve">Devi Kartika </t>
  </si>
  <si>
    <t>Kompleks Ilma D’Mansion F4, Tamangapa</t>
  </si>
  <si>
    <t>https://maps.app.goo.gl/SFqJD7hJ1gNXPEV96?g_st=ic</t>
  </si>
  <si>
    <t>6 Bulan (Rekomended)</t>
  </si>
  <si>
    <t>Event</t>
  </si>
  <si>
    <t>Ainun Qalbi Muthmainnah</t>
  </si>
  <si>
    <t>Mulai dari awal</t>
  </si>
  <si>
    <t>https://maps.app.goo.gl/jQVMmNL8JWHtvBBe6?g_st=ac</t>
  </si>
  <si>
    <t>riu.idha@gmail.com</t>
  </si>
  <si>
    <t>085260383777</t>
  </si>
  <si>
    <t>Tami</t>
  </si>
  <si>
    <t>Pointa Residence Blok A 10, 
Minasa Upa Blo AB
Jln. Bangkit Raya, Makassar</t>
  </si>
  <si>
    <t>https://maps.app.goo.gl/PNTC7f7QhN7YBepi8</t>
  </si>
  <si>
    <t>pengambilan khusus (gowa)</t>
  </si>
  <si>
    <t>founder 'tumpuk sampah'</t>
  </si>
  <si>
    <t xml:space="preserve">Mari maksimalkan pemanfaatan sampah </t>
  </si>
  <si>
    <t>Ria</t>
  </si>
  <si>
    <t>halo.artani@gmail.com</t>
  </si>
  <si>
    <t>08115252567</t>
  </si>
  <si>
    <t>Jalan Rappocini Raya nomor 88</t>
  </si>
  <si>
    <t>https://maps.app.goo.gl/pEDCf38KfFMBmWf56?g_st=ipc</t>
  </si>
  <si>
    <t>Fatmawati</t>
  </si>
  <si>
    <t>Rahmi</t>
  </si>
  <si>
    <t>rahmichaer@gmail.com</t>
  </si>
  <si>
    <t>082111101842</t>
  </si>
  <si>
    <t>Bukit Baruga Cluster Serenity Garden No.7</t>
  </si>
  <si>
    <t>Fatmawanty</t>
  </si>
  <si>
    <t>Rabu</t>
  </si>
  <si>
    <t>Jalan Kuta I</t>
  </si>
  <si>
    <t xml:space="preserve">sadar diri, sampah itu tanggung jawab masing-masing </t>
  </si>
  <si>
    <t>082293718293</t>
  </si>
  <si>
    <t>Wulan Husain</t>
  </si>
  <si>
    <t>Perumahan Bumi Husada Indah blok FF no 4</t>
  </si>
  <si>
    <t>dhilashinkanzen@gmail.com</t>
  </si>
  <si>
    <t>081226082912</t>
  </si>
  <si>
    <t>Perumahan pesona taman dahlia 2 blok C 9. Jalan dahlia, bontorannu. Maroso. Kota makassar</t>
  </si>
  <si>
    <t>https://maps.app.goo.gl/chaGMgS8Z1WtaMx3A?g_st=ipc</t>
  </si>
  <si>
    <t>Nur fadilah</t>
  </si>
  <si>
    <t>RFCC+XQX Bangkala, Kota Makassar, Sulawesi Selatan</t>
  </si>
  <si>
    <t>Anditriutamiputri@gmail.con</t>
  </si>
  <si>
    <t xml:space="preserve">Hidup sehat selaras fitrah </t>
  </si>
  <si>
    <t>Semangat menebar edukasi ke masyarakat</t>
  </si>
  <si>
    <t>Ali Harpan</t>
  </si>
  <si>
    <t>08114101222</t>
  </si>
  <si>
    <t>Jl. Kompleks villa racing center blok A/15</t>
  </si>
  <si>
    <t>Fifi</t>
  </si>
  <si>
    <t>Ffwecudai@gmail.com</t>
  </si>
  <si>
    <t>082188444215</t>
  </si>
  <si>
    <t>Jl. Baji Gau 1 no 28, Kec. Mamajang, Makassar</t>
  </si>
  <si>
    <t>Nugrah Juniar Umar</t>
  </si>
  <si>
    <t>https://maps.app.goo.gl/E5hQN5cbymADBBb19?g_st=ipc</t>
  </si>
  <si>
    <t>https://maps.google.com/?q=-5.143088,119.448891</t>
  </si>
  <si>
    <t>Biar sampah makanan tidak mubazir karena dibuang begitu saja</t>
  </si>
  <si>
    <t>Kusma</t>
  </si>
  <si>
    <t>Rifca Pratiwi</t>
  </si>
  <si>
    <t>pratiwirifca989@gmail.com</t>
  </si>
  <si>
    <t>Vathe25@gmail.com</t>
  </si>
  <si>
    <t>085399944898</t>
  </si>
  <si>
    <t>jln. toddopuli 1 stp 3 no 118
kec rappocini kel kassi-kassi
makassar , sulsel</t>
  </si>
  <si>
    <t>https://maps.app.goo.gl/xWoZ32AmLpezn2SN8</t>
  </si>
  <si>
    <t>Fathu Rahman</t>
  </si>
  <si>
    <t>081355139990</t>
  </si>
  <si>
    <t>Jalan komp. Villa racing centre J12B</t>
  </si>
  <si>
    <t>tertarik dengan kegiatan pengolahan sampah organik tapi terkendala dengan lahan yang sempit</t>
  </si>
  <si>
    <t xml:space="preserve">Rizky </t>
  </si>
  <si>
    <t>e.mailnisrina@gmail.com</t>
  </si>
  <si>
    <t>Tri Ajeng Pertiwi</t>
  </si>
  <si>
    <t>085736263742</t>
  </si>
  <si>
    <t>Jalan Tamalate VII Setapak 28 No. 262, Rappocini (Kelurahan Mappala) RAPPOCINI, KOTA MAKASSAR, SULAWESI SELATAN, ID 90222</t>
  </si>
  <si>
    <t>11,3 Kg</t>
  </si>
  <si>
    <t xml:space="preserve">https://maps.app.goo.gl/V5YQPChPwNYSUEpY6 </t>
  </si>
  <si>
    <t>Peye2911@gmail.com</t>
  </si>
  <si>
    <t>Mutmainnah Rahman Putri</t>
  </si>
  <si>
    <t>Risih liat sampah tercampur aduk, tp mau ngompos sendiri lahan kurang memadai</t>
  </si>
  <si>
    <t>9 Kg</t>
  </si>
  <si>
    <t>08114137723</t>
  </si>
  <si>
    <t>St.khadijahb@gmail.com</t>
  </si>
  <si>
    <t>Jl. Abd. Dg. Sirua BTN CV. Dewi blok C4 no. 15, Pandang, Panakukang, Makassar, Sulsel.</t>
  </si>
  <si>
    <t>082188189304</t>
  </si>
  <si>
    <t>Btn jene ci’nong blok i no 8, kel jenetallasa, kec pallangga kab Gowa, sulawesi selatan</t>
  </si>
  <si>
    <t>https://maps.app.goo.gl/GFwbu5UChVCufE6x7?g_st=ipc</t>
  </si>
  <si>
    <t xml:space="preserve">Hilda Sylvia Ahmad </t>
  </si>
  <si>
    <t>https://maps.app.goo.gl/wwrmxpVAjj1496EG8</t>
  </si>
  <si>
    <t xml:space="preserve">In syaa Allah ingin mengolah sampah jauh lebih baik dari sebelumnya.
Dan mendapatkan media untuk menanam </t>
  </si>
  <si>
    <t>Mardhiyyah</t>
  </si>
  <si>
    <t>Semangat dan lebih keren lagi</t>
  </si>
  <si>
    <t>3,2 Kg</t>
  </si>
  <si>
    <t>Azizah</t>
  </si>
  <si>
    <t>royalzamzam@gmail.com</t>
  </si>
  <si>
    <t>brokenlilly@gmail.com</t>
  </si>
  <si>
    <t>085289888009</t>
  </si>
  <si>
    <t>Intan madya ratna</t>
  </si>
  <si>
    <t>Jalan Mannuruki 2 Kompleks Griya Syartini Blok A12 Makassar</t>
  </si>
  <si>
    <t>peringatan lanjutan berlangganan</t>
  </si>
  <si>
    <t>#rumahtumbuh, Jl. Mannuruki II Lrg. 2 No.5/175, RT.001/RW.04, Mannuruki, Tamalate, Makassar City, South Sulawesi 90221</t>
  </si>
  <si>
    <t>Ingatkan lagi hari sabtu</t>
  </si>
  <si>
    <t>capek sama kondisi pengelolaan sampah Kota Makassar dan mau melakukan yang lebih baik di tahun 2026</t>
  </si>
  <si>
    <t>Kerjasama dengan bank sampah untuk sampah non organik juga dong</t>
  </si>
  <si>
    <t>Yanti (Perumahan Lily)</t>
  </si>
  <si>
    <t>08991355554</t>
  </si>
  <si>
    <t>Jl. A.P. Pettarani 2 Lr. 11 No. 4, Tamamaung, Kec. Panakkukang, Kota Makassar, Sulsel</t>
  </si>
  <si>
    <t>3,1 Kg</t>
  </si>
  <si>
    <t xml:space="preserve">Andi Nurul Mujahidah </t>
  </si>
  <si>
    <t>mujahidahelmuwaffaqah@gmail.com</t>
  </si>
  <si>
    <t>081543060480</t>
  </si>
  <si>
    <t xml:space="preserve">Graha Surandar 3. Jl. Mustafa dg Bunga, Kec. Somba Opu, Paccinongang, Kab. Gowa, Sulawesi Selatan </t>
  </si>
  <si>
    <t>QFXG+7M9 Paccinongang, Kabupaten Gowa, Sulawesi Selatan</t>
  </si>
  <si>
    <t xml:space="preserve">Ibu Yanti (Ilma Green Residence) </t>
  </si>
  <si>
    <t>Teman</t>
  </si>
  <si>
    <t>Karena lahan terbatas</t>
  </si>
  <si>
    <t>https://maps.app.goo.gl/JBmCjn6oquCFQCkQ6</t>
  </si>
  <si>
    <t>buevikartika@gmail.com</t>
  </si>
  <si>
    <t>082245478082</t>
  </si>
  <si>
    <t>jl. Andi Mappodang no H6 Jongaya</t>
  </si>
  <si>
    <t>https://maps.app.goo.gl/ysykjK12LGQS3Xdo8?g_st=aw</t>
  </si>
  <si>
    <t>artfhatu@gmail.com</t>
  </si>
  <si>
    <t>Ummurafa</t>
  </si>
  <si>
    <t>7 Kg</t>
  </si>
  <si>
    <t>mencoba sustainable</t>
  </si>
  <si>
    <t>085649142182</t>
  </si>
  <si>
    <t>Perumahan Bumi Husada Indah Blok P4A, bangkala, kec.manggala</t>
  </si>
  <si>
    <t>Ya. tetangga sering bakar sampah</t>
  </si>
  <si>
    <t xml:space="preserve">devy </t>
  </si>
  <si>
    <t>makassarhalo@gmail.com</t>
  </si>
  <si>
    <t>085159597597</t>
  </si>
  <si>
    <t>Jl. Balang baru komp. kehutanan no. 1, Kel. Balang Baru, Kec. Tamalate, Kota Makassar, Sulawesi Selatan</t>
  </si>
  <si>
    <t>https://maps.app.goo.gl/sLCjLZLdRyeRFqX68?g_st=ic</t>
  </si>
  <si>
    <t>https://maps.app.goo.gl/cv7sCm7fWgLJ22mLA?g_st=ic</t>
  </si>
  <si>
    <t>Nadia</t>
  </si>
  <si>
    <t>1 Tahun (10% Discount)</t>
  </si>
  <si>
    <t>intanmadya@gmail.com</t>
  </si>
  <si>
    <t>Selalu merasa bersalah, bergerak di bidang lingkungan tapi sampahku semuanya hanya berakhir di TPA. semoga karena ikut berlangganan, lingkungan sekitar juga bisa ikut peduli sama lingkungan</t>
  </si>
  <si>
    <t>daun dibakar😭😭😭 bermanfaat tidak, malah bikin penyakit</t>
  </si>
  <si>
    <t>Reni</t>
  </si>
  <si>
    <t xml:space="preserve">St khadijah </t>
  </si>
  <si>
    <t>6,3 Kg</t>
  </si>
  <si>
    <t>Stkhadijahb02@gmail.com</t>
  </si>
  <si>
    <t>085242326353</t>
  </si>
  <si>
    <t>Btn jene cinong blok i no 8, kec. Pallangga kab Gowa, sulawesi selatan</t>
  </si>
  <si>
    <t>https://maps.app.goo.gl/d5nPdYRnsVGJw8yw9?g_st=ic</t>
  </si>
  <si>
    <t>Jl Mesjid Baiturrahman No 87 B</t>
  </si>
  <si>
    <t>marjan</t>
  </si>
  <si>
    <t>Bisa memudahkan mengompos sampah organik</t>
  </si>
  <si>
    <t>https://maps.app.goo.gl/hxiGPdT6bxA2at4GA?g_st=iw</t>
  </si>
  <si>
    <t>Lebih keren</t>
  </si>
  <si>
    <t>Waode Nurul Hasanah</t>
  </si>
  <si>
    <t>wd.nurulhasanah@gmail.com</t>
  </si>
  <si>
    <t>Nunu</t>
  </si>
  <si>
    <t>085841302083</t>
  </si>
  <si>
    <t>Jl. Gusung Raya (maps: mushallah mangallekana), Desa Taeng, kec. Pallangga, Kab. Gowa, Sulawesi Selatan</t>
  </si>
  <si>
    <t>https://maps.app.goo.gl/vmz2AVZa2HDQgFR36</t>
  </si>
  <si>
    <t>nadiarachman@rocketmail.com</t>
  </si>
  <si>
    <t>Adillah Meliana</t>
  </si>
  <si>
    <t>Threads</t>
  </si>
  <si>
    <t>Saya sudah lama memilah sampah organik saya tapi tidak tau mau membuangnya di mana</t>
  </si>
  <si>
    <t>Marjan</t>
  </si>
  <si>
    <t>Iya, karena tidak ada penampungan sampah di daerah kami</t>
  </si>
  <si>
    <t>0895804504539</t>
  </si>
  <si>
    <t>minasa upa blok N5 nomor 14 kec rappocini kel gunung sari kota Makassar. Sulawesi Selatan</t>
  </si>
  <si>
    <t>Caesa</t>
  </si>
  <si>
    <t>Yulia Dian Pradina</t>
  </si>
  <si>
    <t>caesarirosa@gmail.com</t>
  </si>
  <si>
    <t>08112341391</t>
  </si>
  <si>
    <t>Jl. RSI Faisal Raya No.12</t>
  </si>
  <si>
    <t>Search “Seblak CESS”</t>
  </si>
  <si>
    <t>Biar nggak ribet urus sampah organik saya</t>
  </si>
  <si>
    <t>lunamoon.idn</t>
  </si>
  <si>
    <t>Keep a good work! Good job TS</t>
  </si>
  <si>
    <t>marjankhalid22@gmail.com</t>
  </si>
  <si>
    <t>Tingal? Tinggal. Iya, masalahnya memang di daun-daun kering karena sayang kalau jadinya cuma di bakar</t>
  </si>
  <si>
    <t>A. Widya Syadzwina</t>
  </si>
  <si>
    <t>Fariq Muhsin</t>
  </si>
  <si>
    <t>fariq.muhsin456@gmail.com</t>
  </si>
  <si>
    <t>085399946394</t>
  </si>
  <si>
    <t>Jl. Naja Dg Nai no.47, Kec. Tallo, Kota Makassar, Sulawesi Selatan</t>
  </si>
  <si>
    <t>089507281945</t>
  </si>
  <si>
    <t>https://maps.google.com/?q=Kadir%20Meubel,%20Jalan%20Naja%20Dg.%20Nai,%20Rappokalling,%20Makassar%20City,%20South%20Sulawesi&amp;ftid=0x2dbefd695444ff93:0xcc3abb25a9f73d7c&amp;entry=gps&amp;shh=CAE&amp;lucs=,94297699,94284490,94231188,94280568,47071704,94218641,94282134,100799877,94286869&amp;g_st=ic</t>
  </si>
  <si>
    <t xml:space="preserve">Jl. Hertasning Baru, Kompleks Permata Hijau Lestari blok P11/4. Kecamatan Rappoccini. Kelurahan Kassi-Kassi. Kota Makassar. Provinsi Sulawesi Selatan. Kode pos: 90222 </t>
  </si>
  <si>
    <t>Erma</t>
  </si>
  <si>
    <t>https://maps.app.goo.gl/EEK2KxhFJeVPbihx7?g_st=ic</t>
  </si>
  <si>
    <t>Faisal</t>
  </si>
  <si>
    <t>14,5 Kg</t>
  </si>
  <si>
    <t>adm.nuz@gmail.com</t>
  </si>
  <si>
    <t>Diva</t>
  </si>
  <si>
    <t>Biar penglolaan sampah organik bisa lebih bermanfaat</t>
  </si>
  <si>
    <t xml:space="preserve">punya sistem berbasis web untuk kelola data dan laporan, kalau butuh bantuan bisa japri saya. saya beri free hehe </t>
  </si>
  <si>
    <t xml:space="preserve">tidak ada upaya pemisahan jenis sampah, semua disatukan lalu diangkut sama tim penjemput sampah kecamatan </t>
  </si>
  <si>
    <t>089643977560</t>
  </si>
  <si>
    <t>Komp. Pesona Prima Griya Blok D3 No. 15, Kelurahan Bangkala, Kecamatan Manggala, Kota Makassar</t>
  </si>
  <si>
    <t>Fadly padi</t>
  </si>
  <si>
    <t>Tiara Nurhaliza</t>
  </si>
  <si>
    <t>thaliza13@gmail.com</t>
  </si>
  <si>
    <t>082213628736</t>
  </si>
  <si>
    <t>Jl. Medan No. 130 Blok. M RT/RW 001/010 Kompleks Perumahan Mega Cinere</t>
  </si>
  <si>
    <t>https://maps.app.goo.gl/ahQdGZ628THwn2Ct9?g_st=ic</t>
  </si>
  <si>
    <t>https://maps.app.goo.gl/y2tA9eyf5LVKeH9FA?g_st=ic</t>
  </si>
  <si>
    <t>Rere</t>
  </si>
  <si>
    <t>adillahmelianasyarif@gmail.com</t>
  </si>
  <si>
    <t>Karna sesuai dengan value hidup aku yang udah hampir 10 tahun ‘melek’ sustainable living tp suka kurang konsisten. Jadi kl ada wadah yg membantu gini sangat2 merasa senang dan bersyukur!</t>
  </si>
  <si>
    <t>Semoga berkelanjutan dalam kebaikan!</t>
  </si>
  <si>
    <t>walaupun tinggal di kompleks perumahan, kadang ada tukang sampah yang masih mengorek2 sampah</t>
  </si>
  <si>
    <t>081901231306</t>
  </si>
  <si>
    <t>Dharmawan</t>
  </si>
  <si>
    <t>dharmawanc63@gmail.com</t>
  </si>
  <si>
    <t>085299775975</t>
  </si>
  <si>
    <t>Jl. Kerukunan Timur No.326, Tamalanrea, Kec. Tamalanrea, Kota Makassar, Sulawesi Selatan 90245, Indonesia BTP Blok G.326</t>
  </si>
  <si>
    <t>https://maps.app.goo.gl/zP2USMs5FXp1T4CK9?g_st=aw</t>
  </si>
  <si>
    <t>Ani</t>
  </si>
  <si>
    <t>Bisa sampah sisa makanan di kelola dengan baik</t>
  </si>
  <si>
    <t>Indrawati</t>
  </si>
  <si>
    <t>081245779723</t>
  </si>
  <si>
    <t>Mau bertanggung jawab sama sampah sendiri. Dan di pastikan sampah yg di hasilkan benar benar terkelola dengan baik dan ssmstinya</t>
  </si>
  <si>
    <t>Bau sampah TPA</t>
  </si>
  <si>
    <t>Ninin Kurniati</t>
  </si>
  <si>
    <t>Irfan Ade</t>
  </si>
  <si>
    <t xml:space="preserve">Indrawati </t>
  </si>
  <si>
    <t>5,2 Kg</t>
  </si>
  <si>
    <t>085255994481</t>
  </si>
  <si>
    <t xml:space="preserve">Stevany Computer dan Piano Care
Jl. Masale 2 No. 1,(Jl. AP. Pettarani 3), Kec. Panakkukang, Kota Makassar </t>
  </si>
  <si>
    <t>Saya punya banyak sampah organik dari conditioning bunga</t>
  </si>
  <si>
    <t>Uly</t>
  </si>
  <si>
    <t>https://maps.app.goo.gl/29kKXXQAxHn8a9U29?g_st=ac</t>
  </si>
  <si>
    <t>Sentra Flora</t>
  </si>
  <si>
    <t>Mengurangi beban sampah di TPA</t>
  </si>
  <si>
    <t>indrawati.steed@gmail.com</t>
  </si>
  <si>
    <t>Zivana</t>
  </si>
  <si>
    <t>wh03lanthusain@gmail.com</t>
  </si>
  <si>
    <t>087842255882</t>
  </si>
  <si>
    <t xml:space="preserve">Jl. Kumala No. 42 Bongaya Kec. Tamalate Kota Makassar Sulawesi Selatan </t>
  </si>
  <si>
    <t>085156028740</t>
  </si>
  <si>
    <t>https://maps.app.goo.gl/FrBh6sYodTRxG1WV6</t>
  </si>
  <si>
    <t>Jl Tun Abd Razak, Modern Estate Cluster Orchard No EE/31, Paccinongang, Somba Opu, Kab Gowa</t>
  </si>
  <si>
    <t xml:space="preserve">Sofikopi </t>
  </si>
  <si>
    <t>26 Kg</t>
  </si>
  <si>
    <t>Karena tidak tahu mengolah sampah jadi kompos, dan tidak punya fasilitas nya</t>
  </si>
  <si>
    <t>Ningrum</t>
  </si>
  <si>
    <t>ningrum.bunsayip@gmail.com</t>
  </si>
  <si>
    <t>https://maps.app.goo.gl/kqySqxZs6FMDCEiJA</t>
  </si>
  <si>
    <t>081242695906</t>
  </si>
  <si>
    <t>Perumahan gosyen residence blok a/10
Samping indomaret dg tata 3</t>
  </si>
  <si>
    <t>https://maps.app.goo.gl/GiidRA6XmeMJHLmXA?g_st=ac</t>
  </si>
  <si>
    <t>No.5 diningroom</t>
  </si>
  <si>
    <t>104,8 Kg</t>
  </si>
  <si>
    <t>ninggkur@gmail.com</t>
  </si>
  <si>
    <t>Karena lahan kami terbatas, mau ngompos sendiri masih keteteran.. Dengan adanya TS cukup membantu</t>
  </si>
  <si>
    <t>RS Kemenkes CPI</t>
  </si>
  <si>
    <t>I luh devi</t>
  </si>
  <si>
    <t>151,7 Kg</t>
  </si>
  <si>
    <t>iluiludevi@gmail.com</t>
  </si>
  <si>
    <t>081245408378</t>
  </si>
  <si>
    <t>085396025860</t>
  </si>
  <si>
    <t>Perumahan Ukhuwah Umi Antang blok C.22, Belakang waduk Kec. Manggala</t>
  </si>
  <si>
    <t>Kompleks kumala permai blok a no5</t>
  </si>
  <si>
    <t>https://maps.app.goo.gl/fvwzPafrHQXCErTM9</t>
  </si>
  <si>
    <t>TOTAL</t>
  </si>
  <si>
    <t>https://share.google/2lVGtEZo70rY108iN</t>
  </si>
  <si>
    <t>Rumah Tangga</t>
  </si>
  <si>
    <t>Punya sampah daun daun seminggu 3 kali gapunya waktu untuk olahnya</t>
  </si>
  <si>
    <t>Khalishahulimah@yahoo.com</t>
  </si>
  <si>
    <t>Dnurfadilahk@gmail.com</t>
  </si>
  <si>
    <t>082194577366</t>
  </si>
  <si>
    <t>Jl poros pallangga. BTN Pelitas asri blok c no 6</t>
  </si>
  <si>
    <t>https://maps.app.goo.gl/KK961BAYPC9sNU5w8?g_st=ic</t>
  </si>
  <si>
    <t>081225544221</t>
  </si>
  <si>
    <t>Jl. Pengayoman Mirah 2 no 35 (samping Ati Raja)</t>
  </si>
  <si>
    <t>Tiktok</t>
  </si>
  <si>
    <t>Mau mengubah sampah jadi kompos agar bisa digunakan untuk menanam dan juga bisa menjaga bumi</t>
  </si>
  <si>
    <t>Indah</t>
  </si>
  <si>
    <t>ruthindah94@gmail.com</t>
  </si>
  <si>
    <t>081944829750</t>
  </si>
  <si>
    <t>Waterfront City, Tanjung Bunga</t>
  </si>
  <si>
    <t>mau antar sendiri</t>
  </si>
  <si>
    <t>Bisnis</t>
  </si>
  <si>
    <t>tiktok</t>
  </si>
  <si>
    <t>sadar akan issue sustainability</t>
  </si>
  <si>
    <t>semoga semakin banyak pos ts di makassar</t>
  </si>
  <si>
    <t>masy belum memilah sampah</t>
  </si>
  <si>
    <t>https://maps.app.goo.gl/81BawaR47kp1u6P3A</t>
  </si>
  <si>
    <t>Nopianti</t>
  </si>
  <si>
    <t>nopianti034@gmail.com</t>
  </si>
  <si>
    <t>085341268955</t>
  </si>
  <si>
    <t>Jl Haji Kalla Bumi Panaikang Mas Blok C24 Kel Panaikang Kec Panakkukang Makassar (dari portal lurus terus sampai mentok)</t>
  </si>
  <si>
    <t>https://share.google/MQid41Kp27GHISKns</t>
  </si>
  <si>
    <t>Cinta lingkungan</t>
  </si>
  <si>
    <t>Kalau bisa ada juga untuk pengelolaan sampah plastik</t>
  </si>
  <si>
    <t>0811424267</t>
  </si>
  <si>
    <t>Jl Racing Centre 
Kompleks Mustika Mulia Blok A4 Nomor 1
Makassar</t>
  </si>
  <si>
    <t>https://maps.app.goo.gl/SDjx5UkyAchUg3W66</t>
  </si>
  <si>
    <t>Mendukung Program Walikota Makassar</t>
  </si>
  <si>
    <t>Kerjasama dengan semua Ketua RT &amp; RW untuk sosialisasi ke warga-warganya</t>
  </si>
  <si>
    <t>Sampah organik belum dipilah &amp; dikelola agar jadi bermanfaat</t>
  </si>
  <si>
    <t>Pegawai Negeri</t>
  </si>
  <si>
    <t>Shaleha Inra Pratiwi</t>
  </si>
  <si>
    <t>shalehainrapratiwi@gmail.com</t>
  </si>
  <si>
    <t>085211835589</t>
  </si>
  <si>
    <t>Jalan Tamangapa Raya3, Perumahan Bumi Pratama Residence, Bangkala, Kec. Manggala, Kota Makassar</t>
  </si>
  <si>
    <t>081243368861</t>
  </si>
  <si>
    <t>https://share.google/dXAg5A0aOeoyrEEsq</t>
  </si>
  <si>
    <t>Jl. Sultan Alauddin 
Perumahan Residen Alauddin Mas, Blok A1/2A</t>
  </si>
  <si>
    <t>Resah dengan sisa makanan yang selalu berakhir di tempat sampah</t>
  </si>
  <si>
    <t>https://maps.app.goo.gl/AzMYnRYhVF4YV9wy9?g_st=aw</t>
  </si>
  <si>
    <t>Ibu Rumah Tangga</t>
  </si>
  <si>
    <t>Nopi</t>
  </si>
  <si>
    <t>Jl Haji Kalla Perumahan Bumi Panaikang Mas Blok C24 Kel Panaikang Kec Panakkukang Kota Makassar</t>
  </si>
  <si>
    <t>yuliadian34@yahoo.com</t>
  </si>
  <si>
    <t>https://share.google/reSGDWrZrE39Dbl3I</t>
  </si>
  <si>
    <t>Rabu, Sabtu</t>
  </si>
  <si>
    <t>Biar sampah tidak menumpuk di antang &amp; cinta lingkungan</t>
  </si>
  <si>
    <t>Kalau bisa ada juga pengelolaan sampah plastik</t>
  </si>
  <si>
    <t>Sampahnya belum dipilah</t>
  </si>
  <si>
    <t>Swasta</t>
  </si>
  <si>
    <t>1-2</t>
  </si>
  <si>
    <t>Hiromi</t>
  </si>
  <si>
    <t>michantieq@yahoo.co.id</t>
  </si>
  <si>
    <t>08124219391</t>
  </si>
  <si>
    <t>Komp Villa Racing Centre blok c no 10</t>
  </si>
  <si>
    <t>https://maps.app.goo.gl/MZC6mpBsLa2iAH6m6?g_st=ic</t>
  </si>
  <si>
    <t>https://maps.app.goo.gl/p5pWEAaKrZJUe3CX6?g_st=ic</t>
  </si>
  <si>
    <t>Supaya sampah organik bisa di kelolah dan tidak bertumpuk di tpa</t>
  </si>
  <si>
    <t xml:space="preserve">Tidak </t>
  </si>
  <si>
    <t>3-4</t>
  </si>
  <si>
    <t>Sabtu</t>
  </si>
  <si>
    <t>Arief Hidayat</t>
  </si>
  <si>
    <t>arief.hidayatzein@gmail.com</t>
  </si>
  <si>
    <t>081241761007</t>
  </si>
  <si>
    <t>Jl Andi Tonro IV Lorong III no 3</t>
  </si>
  <si>
    <t>https://maps.app.goo.gl/yQ3Zjkwfqkd3YC8h7?g_st=ac</t>
  </si>
  <si>
    <t>Mencoba menerapkan Green lifestyle dan me dukung program pemkot makassar</t>
  </si>
  <si>
    <t>Ada cabang di beberapa kecamatan untuk kemudahan distribusi/penjemputan</t>
  </si>
  <si>
    <t>Minimal di lingkungan satu lorong sadar akan pemisahan jenis sampah</t>
  </si>
  <si>
    <t>5-6</t>
  </si>
  <si>
    <t>Sisilia</t>
  </si>
  <si>
    <t>sisiliabtamorron@gmail.com</t>
  </si>
  <si>
    <t>082292704348</t>
  </si>
  <si>
    <t>Citra Garden Cluster Vittoria Blok N6/3</t>
  </si>
  <si>
    <t>https://maps.app.goo.gl/z3AAvAKKfL6dk69t9?g_st=ic</t>
  </si>
  <si>
    <t>Kerjaannya di bidang sustainability, masa hidupnya juga harus sustain dong</t>
  </si>
  <si>
    <t>H Muh Arsyad</t>
  </si>
  <si>
    <t>hmuharsyadaddi@gmail.com</t>
  </si>
  <si>
    <t>085190673461</t>
  </si>
  <si>
    <t>Jl Tinumbu No 155 Kec Ujung Tanag Kel Tabaringan Kota Makassar Sulawesi Selatan</t>
  </si>
  <si>
    <t>https://maps.app.goo.gl/ZLR7MpWJUG5js6CEA?g_st=iwb</t>
  </si>
  <si>
    <t>Rumah sempit tidak ada ruang dan waktu untuk mengolah sampah organik</t>
  </si>
  <si>
    <t>Tetangga ada yg sering membakar sampah hingga mempengaruhi pernapasan</t>
  </si>
  <si>
    <t>Wiraswasta</t>
  </si>
  <si>
    <t>Era</t>
  </si>
  <si>
    <t>erarizky.kfd@gmail.com</t>
  </si>
  <si>
    <t>085242304056</t>
  </si>
  <si>
    <t>Batu putih bundar no 24</t>
  </si>
  <si>
    <t>Nnti nyusul</t>
  </si>
  <si>
    <t>Nur Fadilah</t>
  </si>
  <si>
    <t>Lingkungan</t>
  </si>
  <si>
    <t>Brp biayanya</t>
  </si>
  <si>
    <t>Tdk ada</t>
  </si>
  <si>
    <t>juniornugrah15@yahoo.com</t>
  </si>
  <si>
    <t>081244449263</t>
  </si>
  <si>
    <t>Jl. Dg. Ngeppe no.34</t>
  </si>
  <si>
    <t>https://maps.app.goo.gl/9Rfbh1tgEkH76P8m6?g_st=iw</t>
  </si>
  <si>
    <t>Sulit mengelolah sampah</t>
  </si>
  <si>
    <t>Tidak punya area tanah untuk mengelolah sampah organik</t>
  </si>
  <si>
    <t xml:space="preserve">Hari jumat ingatkan lagi </t>
  </si>
  <si>
    <t>Dede fitriani choirunisa</t>
  </si>
  <si>
    <t>defichnisa@gmail.com</t>
  </si>
  <si>
    <t>082245109379</t>
  </si>
  <si>
    <t>Kuta 2 no 6 bukit baruga</t>
  </si>
  <si>
    <t>Ingin tau biaya langganan dan prosedur tumpuk sampaj</t>
  </si>
  <si>
    <t>Sangat susah untuk membangun pengolahan sampah organik krn keterbatasan lahan</t>
  </si>
  <si>
    <t>Lil.kusma@gmail.com</t>
  </si>
  <si>
    <t>085299039532</t>
  </si>
  <si>
    <t>Riverside Residence Blok G/5</t>
  </si>
  <si>
    <t>https://maps.app.goo.gl/2kh4tpB26wJYbiGi9?g_st=ac</t>
  </si>
  <si>
    <t>Belajar memilah sampah</t>
  </si>
  <si>
    <t>Nothing</t>
  </si>
  <si>
    <t>Iyaa..sampah tidak dipisah</t>
  </si>
  <si>
    <t>PNS / ASN</t>
  </si>
  <si>
    <t>Andriany Arifin</t>
  </si>
  <si>
    <t>andry.arifin61@gmail.com</t>
  </si>
  <si>
    <t>081344969763</t>
  </si>
  <si>
    <t>Jl. Abdul Kuddus no.14, Kel. Barombong, Kec. Tamalate, Kota Makassar, Sulawesi Selatan</t>
  </si>
  <si>
    <t>https://maps.app.goo.gl/24DkqUaqdEVoJb2o7</t>
  </si>
  <si>
    <t>Sampah organiknya selalu bercampur dengan sampah anorganik dan residu</t>
  </si>
  <si>
    <t>Tidak ada sosialisasi pemilahan sampah dari RT/RW dan warga sekitar rumah masih sering bakar sampah</t>
  </si>
  <si>
    <t>Owner</t>
  </si>
  <si>
    <t>082187006715</t>
  </si>
  <si>
    <t>Agar lebih aware lagi terhadap pemilahan sampah</t>
  </si>
  <si>
    <t>Jalan Perintis Kemerdekaan KM 16 BTN Bulurokeng Permai Blok D2 no 30 Kelurahan Pai,Kecamatan Biringkanaya, Makassar Sulawesi Selatan</t>
  </si>
  <si>
    <t>Buruh</t>
  </si>
  <si>
    <t>Andi Chaerul Fadli</t>
  </si>
  <si>
    <t>socratessian@gmail.com</t>
  </si>
  <si>
    <t>https://maps.app.goo.gl/vULE4qkRpBCrVtfX8?g_st=aw</t>
  </si>
  <si>
    <t>082292156869</t>
  </si>
  <si>
    <t xml:space="preserve">Bukit Hartaco Indah Blok 3i nomor 3, Sudiang Raya, Biringkanaya, Makassar </t>
  </si>
  <si>
    <t>https://maps.app.goo.gl/oX7Vcg1V8QoNf6oeA</t>
  </si>
  <si>
    <t>hisselahmad@gmail.com</t>
  </si>
  <si>
    <t xml:space="preserve">Devy </t>
  </si>
  <si>
    <t>081242808888</t>
  </si>
  <si>
    <t>jl. malengkeri kompleks graha malengkeri ar7/3</t>
  </si>
  <si>
    <t xml:space="preserve">Andi Ulfa Wulandari </t>
  </si>
  <si>
    <t>filosofimeta@gmail.com</t>
  </si>
  <si>
    <t>https://maps.app.goo.gl/ZNDNFv9jzntkw7sK7?g_st=ic</t>
  </si>
  <si>
    <t>Memang dari dulu mikirin cara ini, tapi untuk mengolah sendiri di rumah agak ribet dan gak sempat sempat buatnya sampai sekarang</t>
  </si>
  <si>
    <t>devysirua89@gmail.com</t>
  </si>
  <si>
    <t>Sampah non organik diangkutnya jarang banget, sampai numpuk padahal sudah langganan. Sampah organik jadi problem karena biasanya berulat. Dekat perumahan banyak tumpukan sampah</t>
  </si>
  <si>
    <t>Guru / Dosen</t>
  </si>
  <si>
    <t>Risal</t>
  </si>
  <si>
    <t>Risalrisal6@gmail.com</t>
  </si>
  <si>
    <t>082296611166</t>
  </si>
  <si>
    <t>087812257336</t>
  </si>
  <si>
    <t>Jl.Haji Kalla Raya Blok A6</t>
  </si>
  <si>
    <t>Jl. Daeng Tata, Hartaco Indah blok 2F/no.22, Parang Tambung, Tamalate, Kota Makassar, Sulawesi Selatan</t>
  </si>
  <si>
    <t>https://maps.app.goo.gl/NpBhRFajnqm5XXF66</t>
  </si>
  <si>
    <t>Saya ingin sampah plastik diolah kembali agar tidak mencemari lingkungan</t>
  </si>
  <si>
    <t>Sampah tidak dipilah</t>
  </si>
  <si>
    <t>https://goo.gl/maps/pSscF45YLkzrDK7R8?g_st=aw</t>
  </si>
  <si>
    <t>Yani</t>
  </si>
  <si>
    <t>widya.syadzwin@gmail.com</t>
  </si>
  <si>
    <t>dwirahmayanir@gmail.com</t>
  </si>
  <si>
    <t>085298361494</t>
  </si>
  <si>
    <t xml:space="preserve">Jl. Bontobila 1 No.10, Kel. Batua, Kec. Manggala, Kota Makassar, Sulawesi Selatan </t>
  </si>
  <si>
    <t>https://maps.app.goo.gl/eWq7QhosDwcH2yu26</t>
  </si>
  <si>
    <t>085156856024</t>
  </si>
  <si>
    <t>Jalan Andi Mallombassang No. 52, Sungguminasa</t>
  </si>
  <si>
    <t xml:space="preserve">Karena saya nda ada tempat untuk melakukan pilah sampah, dan dilingkungan tempat tinggal tidak ada tempat untuk pilah sampah </t>
  </si>
  <si>
    <t xml:space="preserve">Tidak ada tempat untuk melakukan pilah sampah </t>
  </si>
  <si>
    <t xml:space="preserve">Arsyiah Rahmadani </t>
  </si>
  <si>
    <t>arsyiahrahmadani@gmail.com</t>
  </si>
  <si>
    <t>085399041683</t>
  </si>
  <si>
    <t>https://maps.app.goo.gl/ghvq3YCZs7onXoxQ8?g_st=ic</t>
  </si>
  <si>
    <t>BTN ANGKASA PURA 1 BLOK B NO 4, KEL. LAIKANG, KEC.BIRINGKANAYA, KOTA MAKASSAR, SULAWESI SELATAN</t>
  </si>
  <si>
    <t>https://maps.app.goo.gl/a32Rx7cDZ8quC2fB6</t>
  </si>
  <si>
    <t>Untuk membantu orang tua dalam mengelola sampah organik, biar tidak dibakar terus</t>
  </si>
  <si>
    <t>Karyawan BUMN</t>
  </si>
  <si>
    <t>7-8</t>
  </si>
  <si>
    <t>Riska</t>
  </si>
  <si>
    <t>Ria Toko (ARTANI)</t>
  </si>
  <si>
    <t>Nuansa.riska@gmail.com</t>
  </si>
  <si>
    <t>085256079960</t>
  </si>
  <si>
    <t>Perumahan Griya Angkasa Jalan Arung Teko Sudiang</t>
  </si>
  <si>
    <t>https://maps.app.goo.gl/fGCk3XLJeWpkNduM6?g_st=ic</t>
  </si>
  <si>
    <t>Tidak bisa menyolah sampah organik</t>
  </si>
  <si>
    <t>Sampah organik sering tercecer</t>
  </si>
  <si>
    <t>Ayu Fanny</t>
  </si>
  <si>
    <t>Senin</t>
  </si>
  <si>
    <t>zahiraccu@gmail.com</t>
  </si>
  <si>
    <t>082188445784</t>
  </si>
  <si>
    <t>Jl sungai limboto lorong 50 a no .5</t>
  </si>
  <si>
    <t>Iya</t>
  </si>
  <si>
    <t>Jl. Andi mappaodang</t>
  </si>
  <si>
    <t>Masih bingung Krn dirumah saya TDK ada tanah</t>
  </si>
  <si>
    <t>KLO bisa sih setiap kelurahan itu ada bagian pengelolaan sampah jadi untuk sampah dari rumah yg SDH TDK ada tanahnya bisa dikelolakan</t>
  </si>
  <si>
    <t>Iya selama pemilahan sampah diberlakukan</t>
  </si>
  <si>
    <t>Andi</t>
  </si>
  <si>
    <t>andiainulmardiyah@gmail.com</t>
  </si>
  <si>
    <t>08991572941</t>
  </si>
  <si>
    <t>Muhajirin 4 no 1</t>
  </si>
  <si>
    <t>Menyusul</t>
  </si>
  <si>
    <t>Muncul di ads</t>
  </si>
  <si>
    <t>Arien</t>
  </si>
  <si>
    <t>ariennanda88@gmail.com</t>
  </si>
  <si>
    <t>082348329750</t>
  </si>
  <si>
    <t>Btn trirura blok c/9 antang. Bangkala, manggala</t>
  </si>
  <si>
    <t>https://maps.app.goo.gl/NaG8LPByjAmzzs1A8?g_st=ic</t>
  </si>
  <si>
    <t>Ada bayi yang tinggal dirumah dan tidak sempat untuk mengelola sampah</t>
  </si>
  <si>
    <t>Belum jelas wadah untuk memilah</t>
  </si>
  <si>
    <t>triajenggprtiwiitiwi@gmail.com</t>
  </si>
  <si>
    <t>0895806374290</t>
  </si>
  <si>
    <t>Jl. Bontoduri III No 20, Pa'baeng-baeng, Kec. Tamalate, Kota Makassar, Sulawesi Selatan</t>
  </si>
  <si>
    <t>https://maps.app.goo.gl/j3pwHZPNBoTPcX3R9?g_st=ac</t>
  </si>
  <si>
    <t>Sampah organik saya sudah terlalu banyak, tidak cukup di lubang biopori sendiri</t>
  </si>
  <si>
    <t>Warganya belum paham pentingnya pilah sampah</t>
  </si>
  <si>
    <t>Pengusaha</t>
  </si>
  <si>
    <t>Ingin memulai belajar mengelola sampah dengan baik</t>
  </si>
  <si>
    <t>Belum ada saran</t>
  </si>
  <si>
    <t>Sering ada pembakaran sampah di lahan kosong di samping rumah</t>
  </si>
  <si>
    <t>mutmainnah.rahman.putri@gmail.com</t>
  </si>
  <si>
    <t>085382775577</t>
  </si>
  <si>
    <t>Jln Andi Djemma (ex Landak Baru), Perumahan Metropolitan Residence Blok B No 7 A Kel Bantabantaeng Kec.Rappocini</t>
  </si>
  <si>
    <t>https://maps.app.goo.gl/YKUWiLYAB4WH8by9A?g_st=iw</t>
  </si>
  <si>
    <t>Ingin mengolah sampah agar lebih sustainable</t>
  </si>
  <si>
    <t>Edukasi lebih giat</t>
  </si>
  <si>
    <t>Tdk ada lahan untuk mengompos sampah basah</t>
  </si>
  <si>
    <t>085169302804</t>
  </si>
  <si>
    <t>Perumahan Villa Permata Harapan Blok A9 Jl. Daeng Tata Raya Kel. Parang Tambung Kec. Tamalate Kota Makassar</t>
  </si>
  <si>
    <t>https://maps.app.goo.gl/htQdQ2PQueQeuRMbA?g_st=ac</t>
  </si>
  <si>
    <t>dhiyyah.94@gmail.com</t>
  </si>
  <si>
    <t>Yanti</t>
  </si>
  <si>
    <t>08124184282</t>
  </si>
  <si>
    <t>Jl. Boulevard raya, perumahan lily blok D no.23</t>
  </si>
  <si>
    <t>https://maps.app.goo.gl/Q4koztnTQox259kv9?g_st=iw</t>
  </si>
  <si>
    <t>Unin973@gmail.com</t>
  </si>
  <si>
    <t>Ibu Yanti</t>
  </si>
  <si>
    <t>081343720007</t>
  </si>
  <si>
    <t>Jln. Toddopuli Raya Timur ILMA GREEN RESIDENCE BLOK HC 11 Kec. Manggala Kel. Borong</t>
  </si>
  <si>
    <t>Pos satpam lgsg belok kanan, rumah paling sudut sebelah kanan</t>
  </si>
  <si>
    <t>haryanti.asdin7@gmail.com</t>
  </si>
  <si>
    <t>Hari sabtu ingatkan lagi</t>
  </si>
  <si>
    <t>08114912080</t>
  </si>
  <si>
    <t>Jl.toddopuli raya timur Perum Ilma residen blok HC 10</t>
  </si>
  <si>
    <t>https://share.google/l6oU54VKGqRSoSAXp</t>
  </si>
  <si>
    <t>miswarsukarta@gmail.com</t>
  </si>
  <si>
    <t>Krn saya butuh tempat yg tepat untuk menyalurkan sampah organik</t>
  </si>
  <si>
    <t xml:space="preserve">Kalau bisa 2x seminggu datang </t>
  </si>
  <si>
    <t xml:space="preserve">Tidak ada lahan utk sampah organik </t>
  </si>
  <si>
    <t>081355113503</t>
  </si>
  <si>
    <t>Jalan jati blok b no 18, kelurahan paropo</t>
  </si>
  <si>
    <t>Yoshinta rerung</t>
  </si>
  <si>
    <t>Yoshintarerung23@gmail.com</t>
  </si>
  <si>
    <t>081998415080</t>
  </si>
  <si>
    <t>Jalan Culang no 16 Makassar</t>
  </si>
  <si>
    <t>Pakai titik : dapoer mamah jo (jl. Culang No 16 Makassar)</t>
  </si>
  <si>
    <t>https://maps.app.goo.gl/7yJVBcFt2aXoXiUs7?g_st=ic</t>
  </si>
  <si>
    <t>Tik tok</t>
  </si>
  <si>
    <t>Saya kurang paham mengolah sampah organik</t>
  </si>
  <si>
    <t>Tidak</t>
  </si>
  <si>
    <t>Syahreni328@yahoo.com</t>
  </si>
  <si>
    <t>Maryam</t>
  </si>
  <si>
    <t>maryamsyarifuddin77@gmail.com</t>
  </si>
  <si>
    <t>085398677777</t>
  </si>
  <si>
    <t>Jl. Asrama haji perumahan bukit sejahtera 2 blok A3 No.3 (rumah warna coklat pagar hitam)</t>
  </si>
  <si>
    <t>085241451596</t>
  </si>
  <si>
    <t>Ashabul+Kahfi+Makassar,+Sulawesi+Selatan,+ID</t>
  </si>
  <si>
    <t>Biar mudah dlm mengolah sampah</t>
  </si>
  <si>
    <t>Tidak ada tempat tampung sampah organik</t>
  </si>
  <si>
    <t>085781906648</t>
  </si>
  <si>
    <t>RCJQ+QFP Tidung, Kota Makassar, Sulawesi Selatan</t>
  </si>
  <si>
    <t>Google</t>
  </si>
  <si>
    <t>Mulai agustus sudah tidak menerima sampah organik sementara tidak tahu cara mengolah kompos</t>
  </si>
  <si>
    <t>Iya karena TPA Tamangapa tidak menerima sampah organik</t>
  </si>
  <si>
    <t>https://maps.app.goo.gl/cFwZdMAN8WNwtNgM9</t>
  </si>
  <si>
    <t>Ayu Aprilianti</t>
  </si>
  <si>
    <t>apriliantiayu95@gmail.com</t>
  </si>
  <si>
    <t>082292656430</t>
  </si>
  <si>
    <t>Jalan Bonto Dg Ngirate II lorong 2 Nomor 28, Kecamatan Rappocini Kota Makassar, Sulawesi Selatan</t>
  </si>
  <si>
    <t>https://maps.app.goo.gl/MDo7hMkY44vVyba17</t>
  </si>
  <si>
    <t xml:space="preserve">Karena di suruh ki pilah sampah sama pak wali kota. </t>
  </si>
  <si>
    <t>082187057585</t>
  </si>
  <si>
    <t xml:space="preserve">Sosialisasikan ini program ke warga di lorong ku juga, ka tidak mau ja liat ada warga bakar sampah. Orang merokok saja na ku lari apalagi ini orang ma bakar sampah. Sessa jki. </t>
  </si>
  <si>
    <t xml:space="preserve">Jl. Kumala No. Bongaya Kec. Tamalate Kota Makassar Sulawesi Selatan </t>
  </si>
  <si>
    <t xml:space="preserve">Sebelumnya ada sebagian warga bakar sampah ka jarang ki masuk itu ambil sampah motor viar ka tapi berhenti bakar sampah, nanti kapang ma bakar mi seng ka nda bisa mi di ambil sampah makanan na TPA. </t>
  </si>
  <si>
    <t>Mutia</t>
  </si>
  <si>
    <t>Thya_mwoh_deh@yahoo.com</t>
  </si>
  <si>
    <t>089531483524</t>
  </si>
  <si>
    <t>Jalan perintis kemerdekaan VI no.52 ( La Reso Homestay)</t>
  </si>
  <si>
    <t>https://maps.app.goo.gl/FWASbXBBgdK865sv8</t>
  </si>
  <si>
    <t>Spy sampah sisa makanan bisa diolah ditangan yg tepat. Dn ikut aturan pemerintah</t>
  </si>
  <si>
    <t>Kalao bisa sampah organikny diangkut 2-3 seminggu biar tdk bau</t>
  </si>
  <si>
    <t>Tdk ad</t>
  </si>
  <si>
    <t>081355333475</t>
  </si>
  <si>
    <t>Jl. Daeng Tata 1 blok 1 no. B3, Parang Tambung, Tamalate</t>
  </si>
  <si>
    <t>andi putri</t>
  </si>
  <si>
    <t>maulanaandiputri123@gmail.com</t>
  </si>
  <si>
    <t>081281009512</t>
  </si>
  <si>
    <t>Perumahan Taman Parkit Indah No. D4, Jl. Borong Indah Toddopuli 6, Borong, Kec. Manggala, Kota Makssar, Sulawesi Selatan</t>
  </si>
  <si>
    <t>https://maps.app.goo.gl/ob9mPuuf16jjQQPZ9?g_st=ic</t>
  </si>
  <si>
    <t>https://maps.app.goo.gl/CykJ7eAGf5H3yTUc9?g_st=ac</t>
  </si>
  <si>
    <t>Tidak ada tempat untuk melakukan kompos</t>
  </si>
  <si>
    <t>semoga bisa menampung lebih banyak sambah organik rumah tangga maupun bisnis</t>
  </si>
  <si>
    <t>Ya, karena tidak ada tempat atau lokasi pengelolaan sampah organik</t>
  </si>
  <si>
    <t>irfan.ade.w@gmail.com</t>
  </si>
  <si>
    <t>Dinda</t>
  </si>
  <si>
    <t>adindadwi319@gmail.com</t>
  </si>
  <si>
    <t>085394962245</t>
  </si>
  <si>
    <t>0816265343</t>
  </si>
  <si>
    <t>BTN Minasa Upa Blok F 14 No 3, Kel. Minasa Upa,Kec. Rappocini, Kota Makassar, Sulawesi Selatan</t>
  </si>
  <si>
    <t>Jl. Landak Baru, Kanal Selatan 2 No. 82</t>
  </si>
  <si>
    <t>https://maps.app.goo.gl/5y6EiF5UgtMw5s9BA?g_st=ic</t>
  </si>
  <si>
    <t>susah untuk mengelolah sampah organik,karena kesibukan dan kurang lahan diarea tempat tinggal</t>
  </si>
  <si>
    <t xml:space="preserve">tidak ada tempat untuk mengelolah sampah organik </t>
  </si>
  <si>
    <t>https://maps.app.goo.gl/2gVs8VJwndohpmW88</t>
  </si>
  <si>
    <t>085117017994</t>
  </si>
  <si>
    <t>Jl. Lanto Dg Pasewang No 32A</t>
  </si>
  <si>
    <t>Tidak punya lahan dan waktu untuk mengkompos sendiri</t>
  </si>
  <si>
    <t>iin</t>
  </si>
  <si>
    <t>https://maps.app.goo.gl/SEuG8FWQYpM6yjfL7</t>
  </si>
  <si>
    <t>yelloworldesign@gmail.com</t>
  </si>
  <si>
    <t>082252540107</t>
  </si>
  <si>
    <t xml:space="preserve">Jl. Toddopuli 5 stpk 8 no 46, borong, Kec. manggala, kota makassar, sulawesi selatan </t>
  </si>
  <si>
    <t>https://maps.app.goo.gl/EeqjpFj3oQJUfQ5J8?g_st=ac</t>
  </si>
  <si>
    <t>Senin,Rabu, Sabtu</t>
  </si>
  <si>
    <t>Hari selasa ingatkan pembayarn untuk bulan selanjutnya</t>
  </si>
  <si>
    <t>tidak punya lahan untuk olah sampah organik</t>
  </si>
  <si>
    <t>089695220562‬</t>
  </si>
  <si>
    <t>masalah sampah yg tdk di angkut mulai 1 agustus</t>
  </si>
  <si>
    <t>Center Point of Indonesiaet, Jl. Metro Tj. Bunga, Maccini Sombala, Kec. Tamalate, Kota Makassar, Sulawesi Selatan</t>
  </si>
  <si>
    <t>Dewi H. Amiq</t>
  </si>
  <si>
    <t>Dewiamiq50@gmail.com</t>
  </si>
  <si>
    <t>082193162646</t>
  </si>
  <si>
    <t>Jl. Muh. Jufri No. 5</t>
  </si>
  <si>
    <t>https://maps.app.goo.gl/z98RcHfhCEnFTMN17</t>
  </si>
  <si>
    <t>https://maps.app.goo.gl/2yXzszqUQHb2wrfR8?g_st=aw</t>
  </si>
  <si>
    <t>Memudahkan mengelola sampah organik</t>
  </si>
  <si>
    <t>Cakupan wilayah se-Makassar</t>
  </si>
  <si>
    <t>Masyarakat masih blm concern dalam pemilahan sampah</t>
  </si>
  <si>
    <t>Andi Emelda</t>
  </si>
  <si>
    <t>imel.emelda@gmail.com</t>
  </si>
  <si>
    <t>085299922929</t>
  </si>
  <si>
    <t>BTN Minasa Upa Blok AB 10 no. 1A, Minasa Upa, kec rappocini, kota makassar, sulawesi selatan</t>
  </si>
  <si>
    <t>https://maps.app.goo.gl/5KFy6WJiYJgX5JBt5?g_st=ic</t>
  </si>
  <si>
    <t>Sampah yang diterima TPA hanya sampah residu</t>
  </si>
  <si>
    <t>: BISNIS</t>
  </si>
  <si>
    <t xml:space="preserve">Tdk ada lahan </t>
  </si>
  <si>
    <t>Belum tersedia teba utk mengolah sampah organik</t>
  </si>
  <si>
    <t>Untuk pengelolaan sampah organik karena belum faham cara pengelolaannya</t>
  </si>
  <si>
    <t>Sebaiknya ambil sampah seminggu 2x</t>
  </si>
  <si>
    <t>Tidak ada pengelolaan sampah organik</t>
  </si>
  <si>
    <t xml:space="preserve">Karena sy tidak tau cara mengolah sampah organik </t>
  </si>
  <si>
    <t>Kalau bisa sampah organik nya di angkut 2 kali sepekan</t>
  </si>
  <si>
    <t xml:space="preserve">Belum ada nya pengolahan sampah organik </t>
  </si>
  <si>
    <t xml:space="preserve">Mardhatillah </t>
  </si>
  <si>
    <t>zaaditmaryam@gmail.com</t>
  </si>
  <si>
    <t>085213678956</t>
  </si>
  <si>
    <t>Pajjaiang lorong 8 no. 11</t>
  </si>
  <si>
    <t>VGR9+2HX, Lorong 8, Paccerakkang, Kec. Biringkanaya, Kota Makassar, Sulawesi Selatan 90241</t>
  </si>
  <si>
    <t>Buang sampah organik lebih mudah</t>
  </si>
  <si>
    <t>Sebar pamflet kak biar makin banyak yg tau</t>
  </si>
  <si>
    <t xml:space="preserve">Mobil sampah kadang lama baru datang </t>
  </si>
  <si>
    <t>Muhammad Miradz Rezha</t>
  </si>
  <si>
    <t>miradzrezha@gmail.com</t>
  </si>
  <si>
    <t>082255004459</t>
  </si>
  <si>
    <t>Kompleks PAI 3 jalan pelita 4 no.69, Kelurahan sudiang, Kec.Biringkanaya , Kota makassar, Sulawesi Selatan</t>
  </si>
  <si>
    <t>https://maps.app.goo.gl/xBAZeaYP9KXyP44LA?g_st=iw</t>
  </si>
  <si>
    <t xml:space="preserve">ingin mengatasi sampah </t>
  </si>
  <si>
    <t>belum ada yang ambil sampahnya</t>
  </si>
  <si>
    <t>BUMN</t>
  </si>
  <si>
    <t>9-10</t>
  </si>
  <si>
    <t>tumpuk sampah sangat membantu untuk mengelola sampah organik</t>
  </si>
  <si>
    <t>tidak ada rt setempat yang melakukan sosialisasi di tempat tinggal kami</t>
  </si>
  <si>
    <t>threads</t>
  </si>
  <si>
    <t>memudahkan kelola sampah rumah tangga</t>
  </si>
  <si>
    <t>tidak</t>
  </si>
  <si>
    <t>Perumahan Bumi Panaikang mas blok C24</t>
  </si>
  <si>
    <t>https://share.google/eyp7EyWoGtzDd6x5P</t>
  </si>
  <si>
    <t>Biar sampah organik tidak berakhir di TPA</t>
  </si>
  <si>
    <t>Semoga kedepan bisa kelolah sampah plastik juga</t>
  </si>
  <si>
    <t>Belum ada pemilahan sampah</t>
  </si>
  <si>
    <t>adiatirazak@gmail.com</t>
  </si>
  <si>
    <t>08124157454</t>
  </si>
  <si>
    <t>Jl.H.Mahsun Dg.Nompo No.5</t>
  </si>
  <si>
    <t>https://maps.app.goo.gl/v4ZeukL8HPpvmv386?g_st=aw</t>
  </si>
  <si>
    <t>Tidak ada waktu Dan lahan</t>
  </si>
  <si>
    <t>Belum ada krn belum Tau kinerjanya</t>
  </si>
  <si>
    <t>Normal biasa aja</t>
  </si>
  <si>
    <t>Afrilda S</t>
  </si>
  <si>
    <t>afrildasiahaan@gmail.com</t>
  </si>
  <si>
    <t>081315066658</t>
  </si>
  <si>
    <t>Green River View, Jalan Rosemary Avenue no 03 Kec. Tamalate, Kel. Barombong, Kota Makassar, Sulawesi Selatan</t>
  </si>
  <si>
    <t>https://maps.app.goo.gl/EjNCUFcETrDZKvft9?g_st=ic</t>
  </si>
  <si>
    <t xml:space="preserve">Daerah rumah tidak ada tanah untuk mengolah sampah organik. </t>
  </si>
  <si>
    <t xml:space="preserve">Ada. </t>
  </si>
  <si>
    <t>Dwi Asriandy</t>
  </si>
  <si>
    <t>dwi.asriandy@gmail.com</t>
  </si>
  <si>
    <t>081944200307</t>
  </si>
  <si>
    <t>Jl. Flamboyan No. 30, Kel. Kampung Buyang, Kec. Mariso, Kota Makassar, Sulawesi Selatan</t>
  </si>
  <si>
    <t>https://maps.app.goo.gl/ZQ9nKJ778NsgSYCu7</t>
  </si>
  <si>
    <t>Belum siap olah sampah organik</t>
  </si>
  <si>
    <t>Tidak ada</t>
  </si>
  <si>
    <t>Biar lebih jelas pengolahan sampahnya</t>
  </si>
  <si>
    <t>Sampai saat ini tidak ada</t>
  </si>
  <si>
    <t>Winda Trisnawati</t>
  </si>
  <si>
    <t>windatrisnahattasukma@gmail.com</t>
  </si>
  <si>
    <t>081243725131</t>
  </si>
  <si>
    <t>BTN. Nusa Tamarunang blok H. 13.kel.Tamarunang, kec. Sombaopu., gowa</t>
  </si>
  <si>
    <t>BTN. Nusa Tamarunang blok H. 13</t>
  </si>
  <si>
    <t xml:space="preserve">. </t>
  </si>
  <si>
    <t>Lama pengambilan sampah</t>
  </si>
  <si>
    <t>Syakila</t>
  </si>
  <si>
    <t>syakilaputri2905@gmail.com</t>
  </si>
  <si>
    <t>08114140286</t>
  </si>
  <si>
    <t>Jl. Andi Djemma Lr.8 No.8, Banta-Bantaeng, Kec. Rappocini, Kota Makassar, Sulawesi Selatan</t>
  </si>
  <si>
    <t>No.8 Lorong 8 Banta Bantaeng https://app.grab.com/s/aqyQj2ue</t>
  </si>
  <si>
    <t>Memilah sampah organik</t>
  </si>
  <si>
    <t>Sri ramadany</t>
  </si>
  <si>
    <t>Sriranadany210@gmail.com</t>
  </si>
  <si>
    <t>085242184000</t>
  </si>
  <si>
    <t>Jl.hertasning utara III no F24 / 11.komp mesjid Al inayah.kelurahan masale.kecamatan panakkukan</t>
  </si>
  <si>
    <t xml:space="preserve">Bisa nanti sy kirimkan </t>
  </si>
  <si>
    <t>Utk saat ini kami belum bisa mengolah sampah sendiri</t>
  </si>
  <si>
    <t>Apakah sampah dijmput satu kali seminggu..apq bisa lebih dari itu ya</t>
  </si>
  <si>
    <t>Kami belum punya pembuangan sampah organik</t>
  </si>
  <si>
    <t>Amalia Ramadhani</t>
  </si>
  <si>
    <t>amaliaramadhanit@gmail.com</t>
  </si>
  <si>
    <t>085240449641</t>
  </si>
  <si>
    <t>Jl. Talasalapang 2 Komp. P&amp;K Blok J1/9</t>
  </si>
  <si>
    <t>https://goo.gl/maps/2bc2smd6vhRkSos28</t>
  </si>
  <si>
    <t xml:space="preserve">biar tahu sampahnya akan di kemanakan </t>
  </si>
  <si>
    <t>tidak ada tempat sampah untuk mrmisahkan antara sampah anorganik, organik dan residu</t>
  </si>
  <si>
    <t>Mahasiswa</t>
  </si>
  <si>
    <t>Wanda</t>
  </si>
  <si>
    <t>wandaaprilisa341@gmail.com</t>
  </si>
  <si>
    <t>089695220562</t>
  </si>
  <si>
    <t>Jl Metro Tanjung Bunga CPI Makassar</t>
  </si>
  <si>
    <t>https://maps.app.goo.gl/gBARr1HnPwEqJ8oY8?g_st=ic</t>
  </si>
  <si>
    <t>Membutuhkan penyedia yang bisa menampung limbah organik</t>
  </si>
  <si>
    <t>Bank Sampah sepertinya tidak ada</t>
  </si>
  <si>
    <t>Ratu</t>
  </si>
  <si>
    <t>ratu.ikp97@gmail.com</t>
  </si>
  <si>
    <t>082115597185</t>
  </si>
  <si>
    <t>Jl. Sahabat 3 unhas, kec. Tamalanrea, kel. Tamalanrea Indah, kota Makassar, Sulsel</t>
  </si>
  <si>
    <t>VFCR+W6F Tamalanrea Indah, Makassar City, South Sulawesi</t>
  </si>
  <si>
    <t>Agar lingkungan lebih terjaga</t>
  </si>
  <si>
    <t>Disekitar sya tdk ada sampah kering yang bisa digunakan dlam pengomposan, lahan disini adalah full rumah, sangat jarang ditemukan pepohonan daun kering sehingga ketika TPA tdk menerima seluruh sampah maka membingungkan akan dibawa kemana sampah organik ini</t>
  </si>
  <si>
    <t>Mia Vitas</t>
  </si>
  <si>
    <t>Amelliasarivitas@gmail.com</t>
  </si>
  <si>
    <t>08113698764</t>
  </si>
  <si>
    <t>Kompleks Villa Racing Centre K5 Panakkukang</t>
  </si>
  <si>
    <t>https://maps.app.goo.gl/XxWFqnPWG6aoV3vG6?g_st=ac</t>
  </si>
  <si>
    <t>Praktis</t>
  </si>
  <si>
    <t>ingin menjadi warga yang baik but i have no time for this😭</t>
  </si>
  <si>
    <t>yes.</t>
  </si>
  <si>
    <t>Fatmah rosalina</t>
  </si>
  <si>
    <t>fathe.rosalina@gmail.com</t>
  </si>
  <si>
    <t>081241504545</t>
  </si>
  <si>
    <t>Jl. Tidung 8 setapak 9 no 187</t>
  </si>
  <si>
    <t>https://www.google.com/maps/place/Jl.+Tidung+8+Setapak+9+No.187,+Mappala,+Kec.+Rappocini,+Kota+Makassar,+Sulawesi+Selatan+90222/@-5.1739587,119.4483713,19z/data=!3m1!4b1!4m5!3m4!1s0x2dbee2f6c4daa7c9:0x6c6c0d81b4913390!8m2!3d-5.17396!4d119.449015!5m1!1e1?authuser=0&amp;entry=ttu&amp;g_ep=EgoyMDI2MDcyMi4wIKXMDSoASAFQAw%3D%3D</t>
  </si>
  <si>
    <t>Tidak ada lahan untuk sampah organik</t>
  </si>
  <si>
    <t>Mohon segera di respon. Tks</t>
  </si>
  <si>
    <t>Ya, tidak ad sosialisasi tingkat rumah tangga untuk pengolahan sampah organikt</t>
  </si>
  <si>
    <t>Fatmah rosalina wahid</t>
  </si>
  <si>
    <t>https://goo.gl/maps/GwYpZVpFxjRQr5zo8?g_st=aw</t>
  </si>
  <si>
    <t>Tidak ada lahan mengolah sampah organik</t>
  </si>
  <si>
    <t>Ya, soaislisasi tidak ada ke rumah tangga</t>
  </si>
  <si>
    <t>AHNI MUSTAIN</t>
  </si>
  <si>
    <t>ahnimustainrad@gmail.com</t>
  </si>
  <si>
    <t>085398891378</t>
  </si>
  <si>
    <t>PERUMAHAN PESONA PRIMA GRIYA BLOK K NO 1, JL. TAMANGAPA RAYA III, KEL. BANGKALA, KEC. MANGGALA, KOTA MAKASSAR, SULAWESI SELATAN</t>
  </si>
  <si>
    <t>https://maps.app.goo.gl/KuVDRvr6yGBnHHLf7?g_st=ac</t>
  </si>
  <si>
    <t>Mau mengelola sampah organik</t>
  </si>
  <si>
    <t>Sy tidak tahu cara mengelola sampah organik</t>
  </si>
  <si>
    <t>Nadira Resky</t>
  </si>
  <si>
    <t>Nadiraresky@gmail.com</t>
  </si>
  <si>
    <t>085298059551</t>
  </si>
  <si>
    <t>Jl. Arif Rahman Hakim 1 No. 1, Kec. Tallo, Kota Makassar, Sulawesi Selatan</t>
  </si>
  <si>
    <t>https://maps.app.goo.gl/W27zGMh3ySdZX1WQ6?g_st=ic</t>
  </si>
  <si>
    <t>Ingin memilah sampah organik dan sampah anorganik</t>
  </si>
  <si>
    <t>Semoga pengantaran dan penjemputan bisa sampe di kecamatan tallo</t>
  </si>
  <si>
    <t>Tdk ada lahan untuk mengelola sampah organik dan tidak membutuhkan kompos. Krn tdk punya tanaman</t>
  </si>
  <si>
    <t>Rani Maulina</t>
  </si>
  <si>
    <t>ran5e@yahoo.co.id</t>
  </si>
  <si>
    <t>085255455551</t>
  </si>
  <si>
    <t>Jl.Sunu Komp Unhas Blok P No.3 Kel Lembo Kec Tallo Makassar</t>
  </si>
  <si>
    <t>https://maps.app.goo.gl/tih1LYYsEQiKAD57A?g_st=ic</t>
  </si>
  <si>
    <t xml:space="preserve">bingung mau di olah seperti apa sampah organik di rumah, karena kami pekerja dan di rumah tidak ada lahan/tanah kosong </t>
  </si>
  <si>
    <t>Mohon d bantu beri edukasi n solusi terkait pengolahan sampah organik di rumah</t>
  </si>
  <si>
    <t>Iya..karena belum terbiasa dengan metode pilah sampah</t>
  </si>
  <si>
    <t xml:space="preserve">Sarminawati </t>
  </si>
  <si>
    <t>Sarminawati47@gmail.com</t>
  </si>
  <si>
    <t>089503090052</t>
  </si>
  <si>
    <t>Jalan Bumi Permata Sudiang 1 Blok D3 no 13</t>
  </si>
  <si>
    <t>https://maps.apple/p/vI0vNZDfb6jyk7</t>
  </si>
  <si>
    <t>Karena masih bingung olah sampah di rumah yg kurang lahan tanah kosongnya</t>
  </si>
  <si>
    <t>Delviani Fitri Anjasari</t>
  </si>
  <si>
    <t>delfyanjasari@yahoo.co.id</t>
  </si>
  <si>
    <t>085299256822</t>
  </si>
  <si>
    <t>Poros Asrama Haji sudiang, Ruko no 3_Toko Mentari 3 (depan gedung pernikahan khalisa)</t>
  </si>
  <si>
    <t>Toko Mentari 3 sudiang</t>
  </si>
  <si>
    <t>Karena kami tidak memiliki lahan sama sekali untuk mengolah sampah organik menjadi kompos</t>
  </si>
  <si>
    <t>Semoga pemerintah dan jajaran instansi terkait bisa bekerja sama dengan stakeholder di bidangnya guna memperbanyak armada seperti Tumpuk Sampah ini, agar tidak menjadi permasalahan baru sampah menumpuk karena tidak diambil lagi karena tidak ada lahan untuk mengolah menjadi kompos.</t>
  </si>
  <si>
    <t>Sejauh ini tidak ada</t>
  </si>
  <si>
    <t>Lail</t>
  </si>
  <si>
    <t>Lailmubarakah2@gmail.com</t>
  </si>
  <si>
    <t>082260758199</t>
  </si>
  <si>
    <t xml:space="preserve">Komp. Griya Harapan Pampang 2, Blok D No 2 Baru. Jln. Inspeksi Kanal Pampang, Kec. Panakkukang, Kota Makassar, Sulawesi Selatan </t>
  </si>
  <si>
    <t>https://maps.google.com/?q=-5.132377,119.453430</t>
  </si>
  <si>
    <t>Karna kesibukan kerja dan tidak punya lahan untuk olah sendiri sampah organik</t>
  </si>
  <si>
    <t>Taufik</t>
  </si>
  <si>
    <t xml:space="preserve">Opitaufik89@gmail.com </t>
  </si>
  <si>
    <t>082311894141</t>
  </si>
  <si>
    <t>Jl. Biring Romang No.54 Blok 1 (Perumnas Antang), Kec. Manggala, Kel. Manggala, Kota Makassar, Sulawesi Selatan</t>
  </si>
  <si>
    <t>https://maps.app.goo.gl/TzhqcnrSebnzaxAg6</t>
  </si>
  <si>
    <t xml:space="preserve">Biar lebih simpel </t>
  </si>
  <si>
    <t>Bau sampah dari tpa</t>
  </si>
  <si>
    <t>Anggita Ratri Pusporini</t>
  </si>
  <si>
    <t>anggitaratrip@gmail.com</t>
  </si>
  <si>
    <t>085756186362</t>
  </si>
  <si>
    <t>Jl. Perintis Kemerdekaan Km 17, Sudiang, Kec. Biringkanaya, Makassar</t>
  </si>
  <si>
    <t>https://share.google/T6ZKAwFx2tu1Pu1IU</t>
  </si>
  <si>
    <t xml:space="preserve">Supaya ga repot kalau sampah organik ditolak diambil, ramah lingkungan, kalau di rumah takutnya ga telaten dan ada kucing. Takut malah dihambur2kan. </t>
  </si>
  <si>
    <t>Semoga bisa menjangkau daerah pinggiran Makassar dan Maros hehehe</t>
  </si>
  <si>
    <t>Banyak warga suka bakar sampah dan tidak bagus pengelolaan sampahnya.</t>
  </si>
  <si>
    <t>Banyak orang bakar sampah</t>
  </si>
  <si>
    <t>Firda</t>
  </si>
  <si>
    <t>firda_tj@yahoo.com</t>
  </si>
  <si>
    <t>085242015311</t>
  </si>
  <si>
    <t>Jl. G. Lompobattang No. 229, Pisang Selatan</t>
  </si>
  <si>
    <t>Jl. G. Lompobattang No. 229</t>
  </si>
  <si>
    <t>Mencari orang yang bisa mengolah sampah organik dengan baik</t>
  </si>
  <si>
    <t>Belum punya lahan untuk mengolah sampah organik sendiri</t>
  </si>
  <si>
    <t xml:space="preserve">Arsyiah </t>
  </si>
  <si>
    <t xml:space="preserve">BTN ANGKASA PURA BLOK B NO 4 KEL. LAIKANG KEC. BIRINGKANAYA </t>
  </si>
  <si>
    <t>https://maps.app.goo.gl/NgFyV8m9S1KQ76Cu5</t>
  </si>
  <si>
    <t>Untuk memudahkan dalam pengelolaan sampah organik</t>
  </si>
  <si>
    <t xml:space="preserve">Karyawan BUMN </t>
  </si>
  <si>
    <t>Anida</t>
  </si>
  <si>
    <t>Anida1407@gmail.com</t>
  </si>
  <si>
    <t>081241001740</t>
  </si>
  <si>
    <t xml:space="preserve">Perumahan Surya Asri II Blok A No.9, Bangkala, Kec. Manggala, Kota Makassar, Sulawesi Selata </t>
  </si>
  <si>
    <t>https://maps.app.goo.gl/Heniq22wptR1Hn4P9?g_st=ic</t>
  </si>
  <si>
    <t xml:space="preserve">Ngga ada waktu untuk melakukan proses tanam sampah organik </t>
  </si>
  <si>
    <t>Semoga bisa menjangkau ke berbagai pelosok daerah di Makassar</t>
  </si>
  <si>
    <t>Kadang ada tetangga yang bakar sampah</t>
  </si>
  <si>
    <t xml:space="preserve">Djihan </t>
  </si>
  <si>
    <t>Djihanramadhani19@gmail.com</t>
  </si>
  <si>
    <t>089509840094</t>
  </si>
  <si>
    <t>Jln Ir Sutami, Poros Lantebung Mattoangin4 No.90</t>
  </si>
  <si>
    <t>Searching titik, Toko Al dzikra</t>
  </si>
  <si>
    <t>Mau buat percontohan dulu di masyarakat sekitar, biar nda pusing mau dikemanakan sampahnya</t>
  </si>
  <si>
    <t>Perluas cabang, kalau bisa ajak semua kelurahan untuk kerja sama. Semoga lurah mewadahi untuk bisa edukasi ke orang2 sekitar. Karna disini kesadaran masyarakat tntng sampah sanagt amat minim</t>
  </si>
  <si>
    <t>Iya punya. Orang susah mau kumpul sampah. Untuk di tunggu saja mobil sampah jemput kadang ada yg nda bayar  ada yg nda sabaran jadi dia bakar  ada jg yg langsung buang di pekarangan kosong dkt rmhnya padahal bukan tanahnya tawwa</t>
  </si>
  <si>
    <t>Pengangguran🥺</t>
  </si>
  <si>
    <t>Kiki</t>
  </si>
  <si>
    <t>kikiriskiantinanda@gmail.com</t>
  </si>
  <si>
    <t>081244250208</t>
  </si>
  <si>
    <t>Jl. Tamangapa raya lorong SMK reformasi no.4, Kelurahan tamangapa, kecamatan manggala, kota makassar, sulawesi selatan</t>
  </si>
  <si>
    <t>https://maps.app.goo.gl/iwSgsmbU7Ypx9rE87?g_st=aw</t>
  </si>
  <si>
    <t>Tidak punya cukup waktu buat kelola sampah, karena ada anak bayi yang saya urus</t>
  </si>
  <si>
    <t>Jangan terlambat ambil sampahnya nanti</t>
  </si>
  <si>
    <t>Tidak ada lahan untuk mengelolah sampah organik</t>
  </si>
  <si>
    <t>Woody Zishi</t>
  </si>
  <si>
    <t>zishipratiwi06@gmail.com</t>
  </si>
  <si>
    <t>085156441807</t>
  </si>
  <si>
    <t>Jl. Satelit I No. 20, Berua, Kec. Biringkanaya</t>
  </si>
  <si>
    <t>https://maps.app.goo.gl/6nJmtYbKaSVmhEsZA?g_st=ac</t>
  </si>
  <si>
    <t>Supya sampah organik terolah dengan lebih baik dan juga belum sanggup mengelola semua sampah organik secara mandiri</t>
  </si>
  <si>
    <t>Semoga bisa terjangkau daerah rumahku utk pelayanannya 😁</t>
  </si>
  <si>
    <t>beberapa masih kurang peduli masalah pengolahan sampah,  mungkin karena kurang pengetahuan</t>
  </si>
  <si>
    <t>Achi</t>
  </si>
  <si>
    <t>achieprasya@gmail.com</t>
  </si>
  <si>
    <t>081354717711</t>
  </si>
  <si>
    <t>The Amaryllis Residence Jl.Amaryllis Azalia no.12</t>
  </si>
  <si>
    <t>jl.amaryllis azalia no.12</t>
  </si>
  <si>
    <t>tidak tau mengolah sampah organik</t>
  </si>
  <si>
    <t>Dewi Masuara</t>
  </si>
  <si>
    <t>andi.dewi_masuara@yahoo.co.id</t>
  </si>
  <si>
    <t>08111500555</t>
  </si>
  <si>
    <t>Jl. Setapak Pengayoman F21 no.5</t>
  </si>
  <si>
    <t>https://maps.app.goo.gl/MZ5LyuM9vEQLWLLn8?g_st=ic</t>
  </si>
  <si>
    <t>Utk memudahkan buang sampah di rmh</t>
  </si>
  <si>
    <t xml:space="preserve">Iya, tdk ada tempat sampah besar </t>
  </si>
  <si>
    <t>Tidak tau cara mengelola sampah organik</t>
  </si>
  <si>
    <t>Dapat dibuatkan penampungan yang lebih dekat</t>
  </si>
  <si>
    <t>Ini juga baru pertama kali mencoba, dan ingin membantu sampah organik di rumah orang tua sy</t>
  </si>
  <si>
    <t>Semoga kerja sama ini berjalan dengan lancar</t>
  </si>
  <si>
    <t>Hanya ingin mencari solusi untuk pengangkutan sampah organik dari rumah orang tua sy, krn rumah beliau sdh tdk ada lahan tanah kosong &amp; depan rumah nya sudah full pepping jalanan</t>
  </si>
  <si>
    <t>aini</t>
  </si>
  <si>
    <t>ainiidarmansyah@gmail.com</t>
  </si>
  <si>
    <t>08114188845</t>
  </si>
  <si>
    <t>Mutiara Panakukkang no 15 jl borong indah toddopuli 6</t>
  </si>
  <si>
    <t>https://maps.app.goo.gl/MgsfNVALQv4WcsKGA?g_st=ic</t>
  </si>
  <si>
    <t>Thread</t>
  </si>
  <si>
    <t xml:space="preserve">Mau coba </t>
  </si>
  <si>
    <t>Penjemputan sampah dari RT sering tidak datang</t>
  </si>
  <si>
    <t>Agar ada yang membantu kelola sampah organik</t>
  </si>
  <si>
    <t>Pengangkutan sampah organik</t>
  </si>
  <si>
    <t xml:space="preserve">Konsultan </t>
  </si>
  <si>
    <t>Cika</t>
  </si>
  <si>
    <t>yesikmeike@gmail.com</t>
  </si>
  <si>
    <t>08115455074</t>
  </si>
  <si>
    <t>Jl A P Pettarani Ruko Pettarani Center Blok B No 21</t>
  </si>
  <si>
    <t>https://maps.app.goo.gl/9xJ6qiGjta2KA1PHA?g_st=ic</t>
  </si>
  <si>
    <t>Karena regulasi pemerintah makassar yg baru</t>
  </si>
  <si>
    <t>tidak ada</t>
  </si>
  <si>
    <t>Sarappo</t>
  </si>
  <si>
    <t>Sarappo203@gmail.com</t>
  </si>
  <si>
    <t>081290595857</t>
  </si>
  <si>
    <t>Jl sarappo no 203 kec wajo kel mampu 90173</t>
  </si>
  <si>
    <t>https://maps.app.goo.gl/DCQH781YMNfLUNvS9?g_st=ic</t>
  </si>
  <si>
    <t>Mau tanya2 dulu boleh ya</t>
  </si>
  <si>
    <t>Olah sampah</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</si>
</sst>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H:mm:ss"/>
    <numFmt numFmtId="165" formatCode="d mmmm"/>
    <numFmt numFmtId="166" formatCode="#,##0.0 &quot;kg&quot;"/>
    <numFmt numFmtId="167" formatCode="[$Rp]#,##0"/>
    <numFmt numFmtId="168" formatCode="m/d/yyyy h:mm:ss"/>
    <numFmt numFmtId="169" formatCode="M/d/yyyy"/>
    <numFmt numFmtId="170" formatCode="dd/MM/yyyy"/>
    <numFmt numFmtId="171" formatCode="#,##0 &quot;kg&quot;"/>
    <numFmt numFmtId="172" formatCode="dd/mm/yyyy"/>
  </numFmts>
  <fonts count="28">
    <font>
      <sz val="10.0"/>
      <color rgb="FF000000"/>
      <name val="Arial"/>
      <scheme val="minor"/>
    </font>
    <font>
      <sz val="17.0"/>
      <color rgb="FFF3F3F3"/>
      <name val="Impact"/>
    </font>
    <font>
      <b/>
      <color rgb="FF000000"/>
      <name val="Lora"/>
    </font>
    <font>
      <b/>
      <color theme="1"/>
      <name val="Cambria"/>
    </font>
    <font>
      <b/>
      <color theme="1"/>
      <name val="Lora"/>
    </font>
    <font/>
    <font>
      <color theme="1"/>
      <name val="Arial"/>
      <scheme val="minor"/>
    </font>
    <font>
      <b/>
      <sz val="8.0"/>
      <color theme="1"/>
      <name val="Lora"/>
    </font>
    <font>
      <b/>
      <sz val="8.0"/>
      <color rgb="FF000000"/>
      <name val="Lora"/>
    </font>
    <font>
      <color theme="1"/>
      <name val="Cambria"/>
    </font>
    <font>
      <color rgb="FF000000"/>
      <name val="Lora"/>
    </font>
    <font>
      <color theme="1"/>
      <name val="Comfortaa"/>
    </font>
    <font>
      <color theme="1"/>
      <name val="Arial"/>
    </font>
    <font>
      <color rgb="FF000000"/>
      <name val="Comfortaa"/>
    </font>
    <font>
      <b/>
      <color theme="1"/>
      <name val="Comfortaa"/>
    </font>
    <font>
      <b/>
      <color rgb="FF000000"/>
      <name val="Comfortaa"/>
    </font>
    <font>
      <u/>
      <color rgb="FF0000FF"/>
      <name val="Roboto"/>
    </font>
    <font>
      <u/>
      <color rgb="FF000000"/>
      <name val="Lora"/>
    </font>
    <font>
      <u/>
      <color rgb="FF000000"/>
      <name val="Lora"/>
    </font>
    <font>
      <color rgb="FFFF0000"/>
      <name val="Lora"/>
    </font>
    <font>
      <b/>
      <color rgb="FFFF0000"/>
      <name val="Comfortaa"/>
    </font>
    <font>
      <u/>
      <color rgb="FF0000FF"/>
      <name val="Roboto"/>
    </font>
    <font>
      <color theme="1"/>
      <name val="Lora"/>
    </font>
    <font>
      <u/>
      <color theme="1"/>
      <name val="Lora"/>
    </font>
    <font>
      <sz val="11.0"/>
      <color rgb="FF000000"/>
      <name val="Arial"/>
      <scheme val="minor"/>
    </font>
    <font>
      <b/>
      <color theme="1"/>
      <name val="Arial"/>
      <scheme val="minor"/>
    </font>
    <font>
      <u/>
      <color rgb="FF000000"/>
      <name val="Lora"/>
    </font>
    <font>
      <u/>
      <color rgb="FF000000"/>
      <name val="Lora"/>
    </font>
  </fonts>
  <fills count="15">
    <fill>
      <patternFill patternType="none"/>
    </fill>
    <fill>
      <patternFill patternType="lightGray"/>
    </fill>
    <fill>
      <patternFill patternType="solid">
        <fgColor rgb="FF5B3F86"/>
        <bgColor rgb="FF5B3F86"/>
      </patternFill>
    </fill>
    <fill>
      <patternFill patternType="solid">
        <fgColor rgb="FF93C47D"/>
        <bgColor rgb="FF93C47D"/>
      </patternFill>
    </fill>
    <fill>
      <patternFill patternType="solid">
        <fgColor rgb="FFD9D2E9"/>
        <bgColor rgb="FFD9D2E9"/>
      </patternFill>
    </fill>
    <fill>
      <patternFill patternType="solid">
        <fgColor rgb="FFFF0000"/>
        <bgColor rgb="FFFF0000"/>
      </patternFill>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8E7CC3"/>
        <bgColor rgb="FF8E7CC3"/>
      </patternFill>
    </fill>
    <fill>
      <patternFill patternType="solid">
        <fgColor rgb="FFF4CCCC"/>
        <bgColor rgb="FFF4CCCC"/>
      </patternFill>
    </fill>
    <fill>
      <patternFill patternType="solid">
        <fgColor rgb="FF6AA84F"/>
        <bgColor rgb="FF6AA84F"/>
      </patternFill>
    </fill>
    <fill>
      <patternFill patternType="solid">
        <fgColor rgb="FFA4C2F4"/>
        <bgColor rgb="FFA4C2F4"/>
      </patternFill>
    </fill>
    <fill>
      <patternFill patternType="solid">
        <fgColor rgb="FFD9EAD3"/>
        <bgColor rgb="FFD9EAD3"/>
      </patternFill>
    </fill>
    <fill>
      <patternFill patternType="solid">
        <fgColor rgb="FF6FA8DC"/>
        <bgColor rgb="FF6FA8DC"/>
      </patternFill>
    </fill>
  </fills>
  <borders count="21">
    <border/>
    <border>
      <left style="thin">
        <color rgb="FF000000"/>
      </left>
      <right style="thin">
        <color rgb="FF000000"/>
      </right>
      <top style="thin">
        <color rgb="FF000000"/>
      </top>
    </border>
    <border>
      <left style="thin">
        <color rgb="FF000000"/>
      </left>
      <right style="thin">
        <color rgb="FF000000"/>
      </right>
      <top style="thin">
        <color rgb="FF000000"/>
      </top>
      <bottom style="double">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double">
        <color rgb="FF000000"/>
      </bottom>
    </border>
    <border>
      <left style="thin">
        <color rgb="FF000000"/>
      </left>
      <right style="thin">
        <color rgb="FF000000"/>
      </right>
      <top style="thin">
        <color rgb="FF000000"/>
      </top>
      <bottom style="thin">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right style="thin">
        <color rgb="FF000000"/>
      </right>
      <bottom style="medium">
        <color rgb="FF000000"/>
      </bottom>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2" fillId="0" fontId="3" numFmtId="0" xfId="0" applyAlignment="1" applyBorder="1" applyFont="1">
      <alignment horizontal="center" readingOrder="0" vertical="center"/>
    </xf>
    <xf borderId="3" fillId="0" fontId="4" numFmtId="0" xfId="0" applyAlignment="1" applyBorder="1" applyFont="1">
      <alignment horizontal="center" readingOrder="0" shrinkToFit="0" vertical="center" wrapText="1"/>
    </xf>
    <xf borderId="4" fillId="0" fontId="5" numFmtId="0" xfId="0" applyBorder="1" applyFont="1"/>
    <xf borderId="5" fillId="0" fontId="5" numFmtId="0" xfId="0" applyBorder="1" applyFont="1"/>
    <xf borderId="6" fillId="0" fontId="3" numFmtId="0" xfId="0" applyAlignment="1" applyBorder="1" applyFont="1">
      <alignment horizontal="center" readingOrder="0" shrinkToFit="0" vertical="center" wrapText="1"/>
    </xf>
    <xf borderId="7" fillId="3" fontId="2" numFmtId="0" xfId="0" applyAlignment="1" applyBorder="1" applyFill="1" applyFont="1">
      <alignment horizontal="center" readingOrder="0" shrinkToFit="0" vertical="center" wrapText="1"/>
    </xf>
    <xf borderId="8" fillId="0" fontId="5" numFmtId="0" xfId="0" applyBorder="1" applyFont="1"/>
    <xf borderId="0" fillId="0" fontId="2" numFmtId="0" xfId="0" applyAlignment="1" applyFont="1">
      <alignment horizontal="center" readingOrder="0" vertical="center"/>
    </xf>
    <xf borderId="9" fillId="0" fontId="5" numFmtId="0" xfId="0" applyBorder="1" applyFont="1"/>
    <xf borderId="2" fillId="0" fontId="3" numFmtId="0" xfId="0" applyAlignment="1" applyBorder="1" applyFont="1">
      <alignment horizontal="center" readingOrder="0" shrinkToFit="0" vertical="center" wrapText="1"/>
    </xf>
    <xf borderId="10" fillId="0" fontId="5" numFmtId="0" xfId="0" applyBorder="1" applyFont="1"/>
    <xf borderId="0" fillId="0" fontId="6" numFmtId="0" xfId="0" applyAlignment="1" applyFont="1">
      <alignment horizontal="center" vertical="center"/>
    </xf>
    <xf borderId="7" fillId="0" fontId="7"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3" fillId="0" fontId="8" numFmtId="0" xfId="0" applyAlignment="1" applyBorder="1" applyFont="1">
      <alignment horizontal="center" readingOrder="0" shrinkToFit="0" vertical="center" wrapText="1"/>
    </xf>
    <xf borderId="10" fillId="0" fontId="9" numFmtId="0" xfId="0" applyAlignment="1" applyBorder="1" applyFont="1">
      <alignment horizontal="center" readingOrder="0" vertical="center"/>
    </xf>
    <xf borderId="1" fillId="3" fontId="2" numFmtId="0" xfId="0" applyAlignment="1" applyBorder="1" applyFill="1" applyFont="1">
      <alignment horizontal="center" readingOrder="0" vertical="center"/>
    </xf>
    <xf borderId="10" fillId="0" fontId="9" numFmtId="0" xfId="0" applyAlignment="1" applyBorder="1" applyFont="1">
      <alignment horizontal="left" readingOrder="0" vertical="center"/>
    </xf>
    <xf borderId="11" fillId="4" fontId="9" numFmtId="164" xfId="0" applyAlignment="1" applyBorder="1" applyFill="1" applyFont="1" applyNumberFormat="1">
      <alignment horizontal="center" readingOrder="0"/>
    </xf>
    <xf borderId="11" fillId="0" fontId="5" numFmtId="0" xfId="0" applyBorder="1" applyFont="1"/>
    <xf borderId="7" fillId="0" fontId="8" numFmtId="165" xfId="0" applyAlignment="1" applyBorder="1" applyFont="1" applyNumberFormat="1">
      <alignment horizontal="center" readingOrder="0" shrinkToFit="0" vertical="center" wrapText="1"/>
    </xf>
    <xf borderId="0" fillId="0" fontId="6"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7" fillId="5" fontId="10" numFmtId="0" xfId="0" applyAlignment="1" applyBorder="1" applyFill="1" applyFont="1">
      <alignment horizontal="center" readingOrder="0"/>
    </xf>
    <xf borderId="7" fillId="5" fontId="10" numFmtId="0" xfId="0" applyAlignment="1" applyBorder="1" applyFill="1" applyFont="1">
      <alignment readingOrder="0" shrinkToFit="0" wrapText="1"/>
    </xf>
    <xf borderId="7" fillId="5" fontId="11" numFmtId="166" xfId="0" applyAlignment="1" applyBorder="1" applyFill="1" applyFont="1" applyNumberFormat="1">
      <alignment horizontal="center" vertical="center"/>
    </xf>
    <xf borderId="10" fillId="0" fontId="9" numFmtId="166" xfId="0" applyAlignment="1" applyBorder="1" applyFont="1" applyNumberFormat="1">
      <alignment horizontal="center" readingOrder="0" vertical="center"/>
    </xf>
    <xf borderId="0" fillId="0" fontId="4" numFmtId="0" xfId="0" applyAlignment="1" applyFont="1">
      <alignment horizontal="center" readingOrder="0" shrinkToFit="0" vertical="center" wrapText="0"/>
    </xf>
    <xf borderId="7" fillId="5" fontId="10" numFmtId="166" xfId="0" applyBorder="1" applyFill="1" applyFont="1" applyNumberFormat="1"/>
    <xf borderId="0" fillId="0" fontId="6" numFmtId="0" xfId="0" applyAlignment="1" applyFont="1">
      <alignment horizontal="left" readingOrder="0" shrinkToFit="0" vertical="center" wrapText="0"/>
    </xf>
    <xf borderId="10" fillId="0" fontId="9" numFmtId="167" xfId="0" applyAlignment="1" applyBorder="1" applyFont="1" applyNumberFormat="1">
      <alignment horizontal="center" readingOrder="0" vertical="center"/>
    </xf>
    <xf borderId="7" fillId="5" fontId="10" numFmtId="166" xfId="0" applyAlignment="1" applyBorder="1" applyFill="1" applyFont="1" applyNumberFormat="1">
      <alignment vertical="center"/>
    </xf>
    <xf borderId="11" fillId="5" fontId="12" numFmtId="166" xfId="0" applyAlignment="1" applyBorder="1" applyFill="1" applyFont="1" applyNumberFormat="1">
      <alignment vertical="bottom"/>
    </xf>
    <xf borderId="12" fillId="5" fontId="12" numFmtId="166" xfId="0" applyAlignment="1" applyBorder="1" applyFill="1" applyFont="1" applyNumberFormat="1">
      <alignment vertical="bottom"/>
    </xf>
    <xf borderId="7" fillId="4" fontId="10" numFmtId="0" xfId="0" applyAlignment="1" applyBorder="1" applyFill="1" applyFont="1">
      <alignment horizontal="center" readingOrder="0"/>
    </xf>
    <xf borderId="13" fillId="0" fontId="9" numFmtId="167" xfId="0" applyAlignment="1" applyBorder="1" applyFont="1" applyNumberFormat="1">
      <alignment horizontal="center" vertical="center"/>
    </xf>
    <xf borderId="0" fillId="0" fontId="4" numFmtId="0" xfId="0" applyAlignment="1" applyFont="1">
      <alignment horizontal="center" readingOrder="0" shrinkToFit="0" vertical="center" wrapText="1"/>
    </xf>
    <xf borderId="0" fillId="0" fontId="6" numFmtId="0" xfId="0" applyAlignment="1" applyFont="1">
      <alignment horizontal="left" readingOrder="0" shrinkToFit="0" vertical="center" wrapText="0"/>
    </xf>
    <xf borderId="7" fillId="6" fontId="10" numFmtId="0" xfId="0" applyAlignment="1" applyBorder="1" applyFill="1" applyFont="1">
      <alignment readingOrder="0" shrinkToFit="0" wrapText="1"/>
    </xf>
    <xf borderId="7" fillId="6" fontId="13" numFmtId="166" xfId="0" applyAlignment="1" applyBorder="1" applyFill="1" applyFont="1" applyNumberFormat="1">
      <alignment horizontal="center" readingOrder="0" shrinkToFit="0" vertical="center" wrapText="1"/>
    </xf>
    <xf borderId="0" fillId="6" fontId="6" numFmtId="166" xfId="0" applyAlignment="1" applyFill="1" applyFont="1" applyNumberFormat="1">
      <alignment readingOrder="0"/>
    </xf>
    <xf borderId="0" fillId="0" fontId="4" numFmtId="0" xfId="0" applyAlignment="1" applyFont="1">
      <alignment horizontal="center" readingOrder="0" shrinkToFit="0" vertical="center" wrapText="1"/>
    </xf>
    <xf borderId="0" fillId="0" fontId="2" numFmtId="0" xfId="0" applyAlignment="1" applyFont="1">
      <alignment horizontal="left"/>
    </xf>
    <xf borderId="13" fillId="0" fontId="9" numFmtId="167" xfId="0" applyAlignment="1" applyBorder="1" applyFont="1" applyNumberFormat="1">
      <alignment horizontal="center" readingOrder="0" vertical="center"/>
    </xf>
    <xf borderId="0" fillId="0" fontId="6" numFmtId="168" xfId="0" applyAlignment="1" applyFont="1" applyNumberFormat="1">
      <alignment readingOrder="0" shrinkToFit="0" vertical="center" wrapText="0"/>
    </xf>
    <xf borderId="13" fillId="0" fontId="9" numFmtId="169" xfId="0" applyAlignment="1" applyBorder="1" applyFont="1" applyNumberFormat="1">
      <alignment horizontal="center" vertical="center"/>
    </xf>
    <xf borderId="7" fillId="5" fontId="10" numFmtId="0" xfId="0" applyAlignment="1" applyBorder="1" applyFill="1" applyFont="1">
      <alignment horizontal="center" readingOrder="0" shrinkToFit="0" vertical="center" wrapText="0"/>
    </xf>
    <xf borderId="0" fillId="0" fontId="6" numFmtId="0" xfId="0" applyAlignment="1" applyFont="1">
      <alignment readingOrder="0" shrinkToFit="0" vertical="center" wrapText="0"/>
    </xf>
    <xf borderId="14" fillId="0" fontId="5" numFmtId="0" xfId="0" applyBorder="1" applyFont="1"/>
    <xf borderId="7" fillId="3" fontId="14" numFmtId="166" xfId="0" applyAlignment="1" applyBorder="1" applyFill="1" applyFont="1" applyNumberFormat="1">
      <alignment horizontal="center" vertical="center"/>
    </xf>
    <xf borderId="7" fillId="5" fontId="10" numFmtId="0" xfId="0" applyAlignment="1" applyBorder="1" applyFill="1" applyFont="1">
      <alignment readingOrder="0" shrinkToFit="0" vertical="center" wrapText="1"/>
    </xf>
    <xf quotePrefix="1" borderId="0" fillId="0" fontId="6" numFmtId="0" xfId="0" applyAlignment="1" applyFont="1">
      <alignment readingOrder="0" shrinkToFit="0" vertical="center" wrapText="0"/>
    </xf>
    <xf borderId="14" fillId="0" fontId="9" numFmtId="166" xfId="0" applyAlignment="1" applyBorder="1" applyFont="1" applyNumberFormat="1">
      <alignment horizontal="center" readingOrder="0"/>
    </xf>
    <xf quotePrefix="1" borderId="7" fillId="5" fontId="10" numFmtId="0" xfId="0" applyAlignment="1" applyBorder="1" applyFill="1" applyFont="1">
      <alignment horizontal="center" readingOrder="0" shrinkToFit="0" vertical="center" wrapText="0"/>
    </xf>
    <xf borderId="15" fillId="0" fontId="9" numFmtId="0" xfId="0" applyBorder="1" applyFont="1"/>
    <xf borderId="7" fillId="0" fontId="15" numFmtId="166" xfId="0" applyAlignment="1" applyBorder="1" applyFont="1" applyNumberFormat="1">
      <alignment horizontal="center" readingOrder="0" shrinkToFit="0" vertical="center" wrapText="1"/>
    </xf>
    <xf borderId="16" fillId="0" fontId="5" numFmtId="0" xfId="0" applyBorder="1" applyFont="1"/>
    <xf borderId="7" fillId="5" fontId="10" numFmtId="170" xfId="0" applyAlignment="1" applyBorder="1" applyFill="1" applyFont="1" applyNumberFormat="1">
      <alignment horizontal="center" readingOrder="0" shrinkToFit="0" vertical="center" wrapText="0"/>
    </xf>
    <xf borderId="11" fillId="6" fontId="12" numFmtId="166" xfId="0" applyAlignment="1" applyBorder="1" applyFill="1" applyFont="1" applyNumberFormat="1">
      <alignment vertical="bottom"/>
    </xf>
    <xf borderId="12" fillId="6" fontId="12" numFmtId="166" xfId="0" applyBorder="1" applyFill="1" applyFont="1" applyNumberFormat="1"/>
    <xf borderId="7" fillId="5" fontId="10" numFmtId="167" xfId="0" applyAlignment="1" applyBorder="1" applyFill="1" applyFont="1" applyNumberFormat="1">
      <alignment horizontal="center" readingOrder="0" shrinkToFit="0" vertical="center" wrapText="0"/>
    </xf>
    <xf borderId="7" fillId="6" fontId="15" numFmtId="166" xfId="0" applyAlignment="1" applyBorder="1" applyFill="1" applyFont="1" applyNumberFormat="1">
      <alignment horizontal="center" readingOrder="0" shrinkToFit="0" vertical="center" wrapText="1"/>
    </xf>
    <xf borderId="7" fillId="4" fontId="10" numFmtId="0" xfId="0" applyAlignment="1" applyBorder="1" applyFill="1" applyFont="1">
      <alignment horizontal="center" readingOrder="0" shrinkToFit="0" vertical="center" wrapText="0"/>
    </xf>
    <xf borderId="7" fillId="7" fontId="10" numFmtId="0" xfId="0" applyAlignment="1" applyBorder="1" applyFill="1" applyFont="1">
      <alignment readingOrder="0" shrinkToFit="0" wrapText="1"/>
    </xf>
    <xf borderId="7" fillId="7" fontId="11" numFmtId="166" xfId="0" applyAlignment="1" applyBorder="1" applyFill="1" applyFont="1" applyNumberFormat="1">
      <alignment horizontal="center" readingOrder="0" vertical="center"/>
    </xf>
    <xf borderId="0" fillId="5" fontId="10" numFmtId="170" xfId="0" applyAlignment="1" applyFill="1" applyFont="1" applyNumberFormat="1">
      <alignment horizontal="center" shrinkToFit="0" vertical="center" wrapText="0"/>
    </xf>
    <xf borderId="7" fillId="7" fontId="13" numFmtId="166" xfId="0" applyAlignment="1" applyBorder="1" applyFill="1" applyFont="1" applyNumberFormat="1">
      <alignment horizontal="center" readingOrder="0" vertical="center"/>
    </xf>
    <xf borderId="7" fillId="7" fontId="13" numFmtId="166" xfId="0" applyAlignment="1" applyBorder="1" applyFill="1" applyFont="1" applyNumberFormat="1">
      <alignment horizontal="center" readingOrder="0" shrinkToFit="0" vertical="center" wrapText="1"/>
    </xf>
    <xf borderId="0" fillId="0" fontId="16" numFmtId="0" xfId="0" applyAlignment="1" applyFont="1">
      <alignment readingOrder="0" shrinkToFit="0" vertical="center" wrapText="0"/>
    </xf>
    <xf borderId="11" fillId="7" fontId="12" numFmtId="166" xfId="0" applyBorder="1" applyFill="1" applyFont="1" applyNumberFormat="1"/>
    <xf borderId="12" fillId="7" fontId="12" numFmtId="166" xfId="0" applyBorder="1" applyFill="1" applyFont="1" applyNumberFormat="1"/>
    <xf borderId="0" fillId="0" fontId="6" numFmtId="0" xfId="0" applyAlignment="1" applyFont="1">
      <alignment shrinkToFit="0" vertical="center" wrapText="0"/>
    </xf>
    <xf borderId="7" fillId="7" fontId="15" numFmtId="166" xfId="0" applyAlignment="1" applyBorder="1" applyFill="1" applyFont="1" applyNumberFormat="1">
      <alignment horizontal="center" readingOrder="0" shrinkToFit="0" vertical="center" wrapText="1"/>
    </xf>
    <xf borderId="0" fillId="0" fontId="6" numFmtId="0" xfId="0" applyAlignment="1" applyFont="1">
      <alignment readingOrder="0" shrinkToFit="0" vertical="center" wrapText="0"/>
    </xf>
    <xf borderId="7" fillId="5" fontId="17" numFmtId="0" xfId="0" applyAlignment="1" applyBorder="1" applyFill="1" applyFont="1">
      <alignment readingOrder="0" shrinkToFit="0" vertical="center" wrapText="1"/>
    </xf>
    <xf borderId="7" fillId="5" fontId="10" numFmtId="0" xfId="0" applyAlignment="1" applyBorder="1" applyFill="1" applyFont="1">
      <alignment horizontal="center" readingOrder="0" shrinkToFit="0" vertical="center" wrapText="1"/>
    </xf>
    <xf borderId="0" fillId="5" fontId="10" numFmtId="0" xfId="0" applyAlignment="1" applyFill="1" applyFont="1">
      <alignment horizontal="center" readingOrder="0" shrinkToFit="0" vertical="center" wrapText="1"/>
    </xf>
    <xf borderId="0" fillId="0" fontId="10" numFmtId="0" xfId="0" applyFont="1"/>
    <xf borderId="7" fillId="6" fontId="12" numFmtId="166" xfId="0" applyBorder="1" applyFill="1" applyFont="1" applyNumberFormat="1"/>
    <xf borderId="1" fillId="5" fontId="10" numFmtId="0" xfId="0" applyAlignment="1" applyBorder="1" applyFill="1" applyFont="1">
      <alignment horizontal="center" readingOrder="0" shrinkToFit="0" vertical="center" wrapText="0"/>
    </xf>
    <xf borderId="7" fillId="7" fontId="12" numFmtId="166" xfId="0" applyBorder="1" applyFill="1" applyFont="1" applyNumberFormat="1"/>
    <xf borderId="7" fillId="5" fontId="10" numFmtId="170" xfId="0" applyAlignment="1" applyBorder="1" applyFill="1" applyFont="1" applyNumberFormat="1">
      <alignment horizontal="center" shrinkToFit="0" vertical="center" wrapText="0"/>
    </xf>
    <xf borderId="7" fillId="6" fontId="11" numFmtId="166" xfId="0" applyAlignment="1" applyBorder="1" applyFill="1" applyFont="1" applyNumberFormat="1">
      <alignment horizontal="center" readingOrder="0" vertical="center"/>
    </xf>
    <xf borderId="7" fillId="6" fontId="13" numFmtId="166" xfId="0" applyAlignment="1" applyBorder="1" applyFill="1" applyFont="1" applyNumberFormat="1">
      <alignment horizontal="center" readingOrder="0" vertical="center"/>
    </xf>
    <xf borderId="0" fillId="7" fontId="13" numFmtId="166" xfId="0" applyAlignment="1" applyFill="1" applyFont="1" applyNumberFormat="1">
      <alignment horizontal="center" readingOrder="0" shrinkToFit="0" vertical="center" wrapText="1"/>
    </xf>
    <xf borderId="7" fillId="4" fontId="10" numFmtId="0" xfId="0" applyAlignment="1" applyBorder="1" applyFill="1" applyFont="1">
      <alignment horizontal="center" readingOrder="0" shrinkToFit="0" vertical="center" wrapText="0"/>
    </xf>
    <xf borderId="5" fillId="0" fontId="10" numFmtId="0" xfId="0" applyAlignment="1" applyBorder="1" applyFont="1">
      <alignment readingOrder="0" shrinkToFit="0" vertical="center" wrapText="1"/>
    </xf>
    <xf quotePrefix="1" borderId="7" fillId="0" fontId="10" numFmtId="0" xfId="0" applyAlignment="1" applyBorder="1" applyFont="1">
      <alignment horizontal="center" readingOrder="0" shrinkToFit="0" vertical="center" wrapText="0"/>
    </xf>
    <xf borderId="7" fillId="0" fontId="10" numFmtId="0" xfId="0" applyAlignment="1" applyBorder="1" applyFont="1">
      <alignment readingOrder="0" shrinkToFit="0" vertical="center" wrapText="1"/>
    </xf>
    <xf borderId="7" fillId="8" fontId="13" numFmtId="166" xfId="0" applyAlignment="1" applyBorder="1" applyFill="1" applyFont="1" applyNumberFormat="1">
      <alignment horizontal="center" readingOrder="0" shrinkToFit="0" vertical="center" wrapText="1"/>
    </xf>
    <xf borderId="7" fillId="0" fontId="10" numFmtId="170" xfId="0" applyAlignment="1" applyBorder="1" applyFont="1" applyNumberFormat="1">
      <alignment horizontal="center" readingOrder="0" shrinkToFit="0" vertical="center" wrapText="0"/>
    </xf>
    <xf borderId="7" fillId="0" fontId="10" numFmtId="0" xfId="0" applyAlignment="1" applyBorder="1" applyFont="1">
      <alignment horizontal="center" readingOrder="0" shrinkToFit="0" vertical="center" wrapText="0"/>
    </xf>
    <xf borderId="7" fillId="0" fontId="10" numFmtId="167" xfId="0" applyAlignment="1" applyBorder="1" applyFont="1" applyNumberFormat="1">
      <alignment horizontal="center" readingOrder="0" shrinkToFit="0" vertical="center" wrapText="0"/>
    </xf>
    <xf borderId="7" fillId="0" fontId="10" numFmtId="170" xfId="0" applyAlignment="1" applyBorder="1" applyFont="1" applyNumberFormat="1">
      <alignment horizontal="center" shrinkToFit="0" vertical="center" wrapText="0"/>
    </xf>
    <xf borderId="7" fillId="0" fontId="10" numFmtId="0" xfId="0" applyAlignment="1" applyBorder="1" applyFont="1">
      <alignment horizontal="center" readingOrder="0" shrinkToFit="0" vertical="center" wrapText="0"/>
    </xf>
    <xf borderId="7" fillId="6" fontId="6" numFmtId="0" xfId="0" applyBorder="1" applyFill="1" applyFont="1"/>
    <xf borderId="7" fillId="9" fontId="18" numFmtId="0" xfId="0" applyAlignment="1" applyBorder="1" applyFill="1" applyFont="1">
      <alignment readingOrder="0" shrinkToFit="0" vertical="center" wrapText="1"/>
    </xf>
    <xf borderId="7" fillId="6" fontId="12" numFmtId="166" xfId="0" applyAlignment="1" applyBorder="1" applyFill="1" applyFont="1" applyNumberFormat="1">
      <alignment vertical="bottom"/>
    </xf>
    <xf borderId="7" fillId="9" fontId="10" numFmtId="0" xfId="0" applyAlignment="1" applyBorder="1" applyFill="1" applyFont="1">
      <alignment readingOrder="0" shrinkToFit="0" vertical="center" wrapText="1"/>
    </xf>
    <xf borderId="0" fillId="0" fontId="10" numFmtId="0" xfId="0" applyAlignment="1" applyFont="1">
      <alignment readingOrder="0" shrinkToFit="0" vertical="center" wrapText="1"/>
    </xf>
    <xf borderId="7" fillId="5" fontId="10" numFmtId="0" xfId="0" applyAlignment="1" applyBorder="1" applyFill="1" applyFont="1">
      <alignment horizontal="center" readingOrder="0" shrinkToFit="0" vertical="center" wrapText="0"/>
    </xf>
    <xf borderId="7" fillId="5" fontId="19" numFmtId="166" xfId="0" applyBorder="1" applyFill="1" applyFont="1" applyNumberFormat="1"/>
    <xf borderId="1" fillId="4" fontId="10" numFmtId="0" xfId="0" applyAlignment="1" applyBorder="1" applyFill="1" applyFont="1">
      <alignment horizontal="center" readingOrder="0" shrinkToFit="0" vertical="center" wrapText="0"/>
    </xf>
    <xf borderId="0" fillId="5" fontId="19" numFmtId="166" xfId="0" applyFill="1" applyFont="1" applyNumberFormat="1"/>
    <xf borderId="5" fillId="0" fontId="10" numFmtId="0" xfId="0" applyAlignment="1" applyBorder="1" applyFont="1">
      <alignment readingOrder="0" shrinkToFit="0" vertical="center" wrapText="1"/>
    </xf>
    <xf borderId="7" fillId="5" fontId="20" numFmtId="166" xfId="0" applyAlignment="1" applyBorder="1" applyFill="1" applyFont="1" applyNumberFormat="1">
      <alignment vertical="center"/>
    </xf>
    <xf borderId="7" fillId="0" fontId="10" numFmtId="0" xfId="0" applyAlignment="1" applyBorder="1" applyFont="1">
      <alignment readingOrder="0" shrinkToFit="0" vertical="center" wrapText="1"/>
    </xf>
    <xf borderId="7" fillId="5" fontId="12" numFmtId="166" xfId="0" applyAlignment="1" applyBorder="1" applyFill="1" applyFont="1" applyNumberFormat="1">
      <alignment vertical="bottom"/>
    </xf>
    <xf borderId="7" fillId="0" fontId="10" numFmtId="170" xfId="0" applyAlignment="1" applyBorder="1" applyFont="1" applyNumberFormat="1">
      <alignment horizontal="center" readingOrder="0" shrinkToFit="0" vertical="center" wrapText="0"/>
    </xf>
    <xf borderId="7" fillId="0" fontId="10"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7" fillId="7" fontId="6" numFmtId="0" xfId="0" applyBorder="1" applyFill="1" applyFont="1"/>
    <xf borderId="7" fillId="7" fontId="12" numFmtId="166" xfId="0" applyAlignment="1" applyBorder="1" applyFill="1" applyFont="1" applyNumberFormat="1">
      <alignment vertical="bottom"/>
    </xf>
    <xf borderId="7" fillId="4" fontId="10" numFmtId="0" xfId="0" applyAlignment="1" applyBorder="1" applyFill="1" applyFont="1">
      <alignment horizontal="center" readingOrder="0" shrinkToFit="0" vertical="center" wrapText="0"/>
    </xf>
    <xf borderId="0" fillId="0" fontId="6" numFmtId="168" xfId="0" applyAlignment="1" applyFont="1" applyNumberFormat="1">
      <alignment readingOrder="0" shrinkToFit="0" vertical="center" wrapText="0"/>
    </xf>
    <xf quotePrefix="1" borderId="7" fillId="0" fontId="10" numFmtId="0" xfId="0" applyAlignment="1" applyBorder="1" applyFont="1">
      <alignment horizontal="center" readingOrder="0" shrinkToFit="0" vertical="center" wrapText="0"/>
    </xf>
    <xf borderId="0" fillId="0" fontId="6" numFmtId="0" xfId="0" applyAlignment="1" applyFont="1">
      <alignment readingOrder="0" shrinkToFit="0" vertical="center" wrapText="0"/>
    </xf>
    <xf quotePrefix="1" borderId="0" fillId="0" fontId="6" numFmtId="0" xfId="0" applyAlignment="1" applyFont="1">
      <alignment readingOrder="0" shrinkToFit="0" vertical="center" wrapText="0"/>
    </xf>
    <xf borderId="0" fillId="0" fontId="21" numFmtId="0" xfId="0" applyAlignment="1" applyFont="1">
      <alignment readingOrder="0" shrinkToFit="0" vertical="center" wrapText="0"/>
    </xf>
    <xf borderId="0" fillId="0" fontId="6" numFmtId="0" xfId="0" applyAlignment="1" applyFont="1">
      <alignment readingOrder="0" shrinkToFit="0" vertical="center" wrapText="0"/>
    </xf>
    <xf borderId="7" fillId="0" fontId="10" numFmtId="167" xfId="0" applyAlignment="1" applyBorder="1" applyFont="1" applyNumberFormat="1">
      <alignment horizontal="center" readingOrder="0" shrinkToFit="0" vertical="center" wrapText="0"/>
    </xf>
    <xf borderId="11" fillId="6" fontId="12" numFmtId="166" xfId="0" applyBorder="1" applyFill="1" applyFont="1" applyNumberFormat="1"/>
    <xf borderId="11" fillId="7" fontId="12" numFmtId="166" xfId="0" applyAlignment="1" applyBorder="1" applyFill="1" applyFont="1" applyNumberFormat="1">
      <alignment vertical="bottom"/>
    </xf>
    <xf borderId="7" fillId="10" fontId="10" numFmtId="170" xfId="0" applyAlignment="1" applyBorder="1" applyFill="1" applyFont="1" applyNumberFormat="1">
      <alignment horizontal="center" shrinkToFit="0" vertical="center" wrapText="0"/>
    </xf>
    <xf borderId="7" fillId="11" fontId="10" numFmtId="0" xfId="0" applyAlignment="1" applyBorder="1" applyFill="1" applyFont="1">
      <alignment horizontal="center" readingOrder="0" shrinkToFit="0" vertical="center" wrapText="0"/>
    </xf>
    <xf borderId="0" fillId="0" fontId="10" numFmtId="0" xfId="0" applyAlignment="1" applyFont="1">
      <alignment horizontal="center" readingOrder="0" shrinkToFit="0" vertical="center" wrapText="1"/>
    </xf>
    <xf borderId="17" fillId="6" fontId="12" numFmtId="166" xfId="0" applyAlignment="1" applyBorder="1" applyFill="1" applyFont="1" applyNumberFormat="1">
      <alignment vertical="bottom"/>
    </xf>
    <xf borderId="1" fillId="4" fontId="10" numFmtId="0" xfId="0" applyAlignment="1" applyBorder="1" applyFill="1" applyFont="1">
      <alignment horizontal="center" readingOrder="0" shrinkToFit="0" vertical="center" wrapText="0"/>
    </xf>
    <xf borderId="12" fillId="7" fontId="12" numFmtId="166" xfId="0" applyAlignment="1" applyBorder="1" applyFill="1" applyFont="1" applyNumberFormat="1">
      <alignment vertical="bottom"/>
    </xf>
    <xf borderId="7" fillId="7" fontId="12" numFmtId="0" xfId="0" applyAlignment="1" applyBorder="1" applyFill="1" applyFont="1">
      <alignment vertical="bottom"/>
    </xf>
    <xf borderId="17" fillId="7" fontId="12" numFmtId="166" xfId="0" applyAlignment="1" applyBorder="1" applyFill="1" applyFont="1" applyNumberFormat="1">
      <alignment vertical="bottom"/>
    </xf>
    <xf borderId="0" fillId="6" fontId="22" numFmtId="0" xfId="0" applyAlignment="1" applyFill="1" applyFont="1">
      <alignment readingOrder="0" shrinkToFit="0" wrapText="1"/>
    </xf>
    <xf borderId="7" fillId="4" fontId="9" numFmtId="0" xfId="0" applyAlignment="1" applyBorder="1" applyFill="1" applyFont="1">
      <alignment horizontal="center" readingOrder="0" shrinkToFit="0" vertical="center" wrapText="0"/>
    </xf>
    <xf borderId="7" fillId="7" fontId="22" numFmtId="0" xfId="0" applyAlignment="1" applyBorder="1" applyFill="1" applyFont="1">
      <alignment readingOrder="0" shrinkToFit="0" wrapText="1"/>
    </xf>
    <xf borderId="7" fillId="0" fontId="22" numFmtId="0" xfId="0" applyAlignment="1" applyBorder="1" applyFont="1">
      <alignment readingOrder="0" shrinkToFit="0" vertical="center" wrapText="1"/>
    </xf>
    <xf quotePrefix="1" borderId="7" fillId="0" fontId="22" numFmtId="0" xfId="0" applyAlignment="1" applyBorder="1" applyFont="1">
      <alignment readingOrder="0" shrinkToFit="0" vertical="center" wrapText="0"/>
    </xf>
    <xf borderId="7" fillId="0" fontId="22" numFmtId="0" xfId="0" applyAlignment="1" applyBorder="1" applyFont="1">
      <alignment readingOrder="0" shrinkToFit="0" vertical="center" wrapText="0"/>
    </xf>
    <xf borderId="7" fillId="0" fontId="22" numFmtId="170" xfId="0" applyAlignment="1" applyBorder="1" applyFont="1" applyNumberFormat="1">
      <alignment horizontal="center" readingOrder="0" shrinkToFit="0" vertical="center" wrapText="0"/>
    </xf>
    <xf borderId="7" fillId="6" fontId="22" numFmtId="0" xfId="0" applyAlignment="1" applyBorder="1" applyFill="1" applyFont="1">
      <alignment readingOrder="0" shrinkToFit="0" wrapText="1"/>
    </xf>
    <xf borderId="7" fillId="0" fontId="22" numFmtId="0" xfId="0" applyAlignment="1" applyBorder="1" applyFont="1">
      <alignment horizontal="center" readingOrder="0" shrinkToFit="0" vertical="center" wrapText="0"/>
    </xf>
    <xf borderId="7" fillId="0" fontId="22" numFmtId="167" xfId="0" applyAlignment="1" applyBorder="1" applyFont="1" applyNumberFormat="1">
      <alignment horizontal="center" readingOrder="0" shrinkToFit="0" vertical="center" wrapText="0"/>
    </xf>
    <xf borderId="7" fillId="0" fontId="22" numFmtId="170" xfId="0" applyAlignment="1" applyBorder="1" applyFont="1" applyNumberFormat="1">
      <alignment horizontal="center" shrinkToFit="0" vertical="center" wrapText="0"/>
    </xf>
    <xf borderId="7" fillId="0" fontId="22" numFmtId="0" xfId="0" applyAlignment="1" applyBorder="1" applyFont="1">
      <alignment horizontal="center" readingOrder="0" shrinkToFit="0" vertical="center" wrapText="0"/>
    </xf>
    <xf borderId="7" fillId="12" fontId="10" numFmtId="0" xfId="0" applyAlignment="1" applyBorder="1" applyFill="1" applyFont="1">
      <alignment readingOrder="0" shrinkToFit="0" wrapText="1"/>
    </xf>
    <xf borderId="7" fillId="12" fontId="13" numFmtId="166" xfId="0" applyAlignment="1" applyBorder="1" applyFill="1" applyFont="1" applyNumberFormat="1">
      <alignment horizontal="center" readingOrder="0" shrinkToFit="0" vertical="center" wrapText="1"/>
    </xf>
    <xf borderId="11" fillId="12" fontId="12" numFmtId="166" xfId="0" applyBorder="1" applyFill="1" applyFont="1" applyNumberFormat="1"/>
    <xf borderId="7" fillId="9" fontId="23" numFmtId="0" xfId="0" applyAlignment="1" applyBorder="1" applyFill="1" applyFont="1">
      <alignment readingOrder="0" shrinkToFit="0" vertical="center" wrapText="1"/>
    </xf>
    <xf borderId="12" fillId="12" fontId="12" numFmtId="166" xfId="0" applyBorder="1" applyFill="1" applyFont="1" applyNumberFormat="1"/>
    <xf borderId="7" fillId="9" fontId="22" numFmtId="0" xfId="0" applyAlignment="1" applyBorder="1" applyFill="1" applyFont="1">
      <alignment readingOrder="0" shrinkToFit="0" vertical="center" wrapText="1"/>
    </xf>
    <xf borderId="7" fillId="12" fontId="22" numFmtId="166" xfId="0" applyBorder="1" applyFill="1" applyFont="1" applyNumberFormat="1"/>
    <xf borderId="11" fillId="12" fontId="12" numFmtId="166" xfId="0" applyAlignment="1" applyBorder="1" applyFill="1" applyFont="1" applyNumberFormat="1">
      <alignment vertical="bottom"/>
    </xf>
    <xf borderId="7" fillId="12" fontId="12" numFmtId="166" xfId="0" applyBorder="1" applyFill="1" applyFont="1" applyNumberFormat="1"/>
    <xf borderId="18" fillId="6" fontId="2" numFmtId="0" xfId="0" applyAlignment="1" applyBorder="1" applyFill="1" applyFont="1">
      <alignment horizontal="center" readingOrder="0" vertical="center"/>
    </xf>
    <xf borderId="19" fillId="6" fontId="5" numFmtId="0" xfId="0" applyBorder="1" applyFill="1" applyFont="1"/>
    <xf borderId="0" fillId="6" fontId="15" numFmtId="0" xfId="0" applyAlignment="1" applyFill="1" applyFont="1">
      <alignment horizontal="center" readingOrder="0" shrinkToFit="0" vertical="center" wrapText="1"/>
    </xf>
    <xf borderId="0" fillId="6" fontId="2" numFmtId="0" xfId="0" applyFill="1" applyFont="1"/>
    <xf borderId="3" fillId="6" fontId="2" numFmtId="0" xfId="0" applyAlignment="1" applyBorder="1" applyFill="1" applyFont="1">
      <alignment horizontal="center" readingOrder="0" shrinkToFit="0" vertical="center" wrapText="1"/>
    </xf>
    <xf borderId="5" fillId="6" fontId="5" numFmtId="0" xfId="0" applyBorder="1" applyFill="1" applyFont="1"/>
    <xf borderId="1" fillId="11" fontId="14" numFmtId="171" xfId="0" applyAlignment="1" applyBorder="1" applyFill="1" applyFont="1" applyNumberFormat="1">
      <alignment horizontal="center" vertical="center"/>
    </xf>
    <xf borderId="1" fillId="4" fontId="9" numFmtId="0" xfId="0" applyAlignment="1" applyBorder="1" applyFill="1" applyFont="1">
      <alignment horizontal="center" readingOrder="0" shrinkToFit="0" vertical="center" wrapText="0"/>
    </xf>
    <xf borderId="7" fillId="11" fontId="24" numFmtId="166" xfId="0" applyAlignment="1" applyBorder="1" applyFill="1" applyFont="1" applyNumberFormat="1">
      <alignment horizontal="center" readingOrder="0"/>
    </xf>
    <xf borderId="7" fillId="12" fontId="10" numFmtId="0" xfId="0" applyAlignment="1" applyBorder="1" applyFill="1" applyFont="1">
      <alignment readingOrder="0" shrinkToFit="0" vertical="center" wrapText="1"/>
    </xf>
    <xf borderId="0" fillId="6" fontId="12" numFmtId="0" xfId="0" applyFill="1" applyFont="1"/>
    <xf borderId="0" fillId="6" fontId="12" numFmtId="171" xfId="0" applyAlignment="1" applyFill="1" applyFont="1" applyNumberFormat="1">
      <alignment vertical="bottom"/>
    </xf>
    <xf quotePrefix="1" borderId="7" fillId="12" fontId="10" numFmtId="0" xfId="0" applyAlignment="1" applyBorder="1" applyFill="1" applyFont="1">
      <alignment horizontal="center" readingOrder="0" shrinkToFit="0" vertical="center" wrapText="0"/>
    </xf>
    <xf borderId="0" fillId="6" fontId="12" numFmtId="166" xfId="0" applyFill="1" applyFont="1" applyNumberFormat="1"/>
    <xf borderId="7" fillId="12" fontId="10" numFmtId="170" xfId="0" applyAlignment="1" applyBorder="1" applyFill="1" applyFont="1" applyNumberFormat="1">
      <alignment horizontal="center" readingOrder="0" shrinkToFit="0" vertical="center" wrapText="0"/>
    </xf>
    <xf borderId="7" fillId="12" fontId="10" numFmtId="0" xfId="0" applyAlignment="1" applyBorder="1" applyFill="1" applyFont="1">
      <alignment horizontal="center" readingOrder="0" shrinkToFit="0" vertical="center" wrapText="0"/>
    </xf>
    <xf borderId="20" fillId="0" fontId="5" numFmtId="0" xfId="0" applyBorder="1" applyFont="1"/>
    <xf borderId="12" fillId="0" fontId="5" numFmtId="0" xfId="0" applyBorder="1" applyFont="1"/>
    <xf borderId="7" fillId="12" fontId="10" numFmtId="167" xfId="0" applyAlignment="1" applyBorder="1" applyFill="1" applyFont="1" applyNumberFormat="1">
      <alignment horizontal="center" readingOrder="0" shrinkToFit="0" vertical="center" wrapText="0"/>
    </xf>
    <xf borderId="7" fillId="12" fontId="10" numFmtId="170" xfId="0" applyAlignment="1" applyBorder="1" applyFill="1" applyFont="1" applyNumberFormat="1">
      <alignment horizontal="center" shrinkToFit="0" vertical="center" wrapText="0"/>
    </xf>
    <xf borderId="0" fillId="0" fontId="12" numFmtId="0" xfId="0" applyAlignment="1" applyFont="1">
      <alignment vertical="bottom"/>
    </xf>
    <xf borderId="0" fillId="0" fontId="12" numFmtId="171" xfId="0" applyAlignment="1" applyFont="1" applyNumberFormat="1">
      <alignment vertical="bottom"/>
    </xf>
    <xf borderId="0" fillId="0" fontId="12" numFmtId="166" xfId="0" applyAlignment="1" applyFont="1" applyNumberFormat="1">
      <alignment vertical="bottom"/>
    </xf>
    <xf borderId="0" fillId="0" fontId="10" numFmtId="0" xfId="0" applyAlignment="1" applyFont="1">
      <alignment readingOrder="0" shrinkToFit="0" wrapText="1"/>
    </xf>
    <xf borderId="0" fillId="7" fontId="2" numFmtId="0" xfId="0" applyAlignment="1" applyFill="1" applyFont="1">
      <alignment horizontal="center" readingOrder="0" shrinkToFit="0" vertical="center" wrapText="1"/>
    </xf>
    <xf borderId="0" fillId="0" fontId="25" numFmtId="0" xfId="0" applyAlignment="1" applyFont="1">
      <alignment readingOrder="0"/>
    </xf>
    <xf borderId="7" fillId="12" fontId="26" numFmtId="0" xfId="0" applyAlignment="1" applyBorder="1" applyFill="1" applyFont="1">
      <alignment readingOrder="0" shrinkToFit="0" vertical="center" wrapText="1"/>
    </xf>
    <xf borderId="0" fillId="0" fontId="10" numFmtId="0" xfId="0" applyAlignment="1" applyFont="1">
      <alignment shrinkToFit="0" wrapText="1"/>
    </xf>
    <xf borderId="0" fillId="6" fontId="2" numFmtId="0" xfId="0" applyAlignment="1" applyFill="1" applyFont="1">
      <alignment horizontal="center" readingOrder="0" shrinkToFit="0" vertical="center" wrapText="1"/>
    </xf>
    <xf borderId="0" fillId="0" fontId="12" numFmtId="0" xfId="0" applyAlignment="1" applyFont="1">
      <alignment vertical="bottom"/>
    </xf>
    <xf borderId="0" fillId="0" fontId="22" numFmtId="0" xfId="0" applyAlignment="1" applyFont="1">
      <alignment horizontal="center" readingOrder="0"/>
    </xf>
    <xf borderId="0" fillId="7" fontId="10" numFmtId="0" xfId="0" applyFill="1" applyFont="1"/>
    <xf borderId="0" fillId="6" fontId="10" numFmtId="0" xfId="0" applyFill="1" applyFont="1"/>
    <xf borderId="0" fillId="0" fontId="25" numFmtId="0" xfId="0" applyAlignment="1" applyFont="1">
      <alignment horizontal="center" readingOrder="0" vertical="center"/>
    </xf>
    <xf borderId="0" fillId="0" fontId="25" numFmtId="0" xfId="0" applyFont="1"/>
    <xf borderId="7" fillId="13" fontId="10" numFmtId="0" xfId="0" applyAlignment="1" applyBorder="1" applyFill="1" applyFont="1">
      <alignment horizontal="center" readingOrder="0" shrinkToFit="0" vertical="center" wrapText="0"/>
    </xf>
    <xf borderId="7" fillId="0" fontId="10" numFmtId="172" xfId="0" applyAlignment="1" applyBorder="1" applyFont="1" applyNumberFormat="1">
      <alignment horizontal="center" readingOrder="0" shrinkToFit="0" vertical="center" wrapText="0"/>
    </xf>
    <xf borderId="7" fillId="9" fontId="27" numFmtId="0" xfId="0" applyAlignment="1" applyBorder="1" applyFill="1" applyFont="1">
      <alignment readingOrder="0" shrinkToFit="0" vertical="center" wrapText="1"/>
    </xf>
    <xf borderId="0" fillId="0" fontId="10" numFmtId="0" xfId="0" applyAlignment="1" applyFont="1">
      <alignment readingOrder="0" shrinkToFit="0" vertical="center" wrapText="1"/>
    </xf>
    <xf borderId="7" fillId="0" fontId="10" numFmtId="172" xfId="0" applyAlignment="1" applyBorder="1" applyFont="1" applyNumberFormat="1">
      <alignment horizontal="center" readingOrder="0" shrinkToFit="0" vertical="center" wrapText="0"/>
    </xf>
    <xf borderId="0" fillId="4" fontId="9" numFmtId="0" xfId="0" applyAlignment="1" applyFill="1" applyFont="1">
      <alignment horizontal="center" readingOrder="0" shrinkToFit="0" vertical="center" wrapText="0"/>
    </xf>
    <xf borderId="0" fillId="12" fontId="10" numFmtId="0" xfId="0" applyAlignment="1" applyFill="1" applyFont="1">
      <alignment readingOrder="0" shrinkToFit="0" vertical="center" wrapText="1"/>
    </xf>
    <xf borderId="0" fillId="12" fontId="10" numFmtId="0" xfId="0" applyAlignment="1" applyFill="1" applyFont="1">
      <alignment horizontal="center" readingOrder="0" shrinkToFit="0" vertical="center" wrapText="0"/>
    </xf>
    <xf borderId="0" fillId="12" fontId="10" numFmtId="170" xfId="0" applyAlignment="1" applyFill="1" applyFont="1" applyNumberFormat="1">
      <alignment horizontal="center" readingOrder="0" shrinkToFit="0" vertical="center" wrapText="0"/>
    </xf>
    <xf borderId="0" fillId="12" fontId="10" numFmtId="167" xfId="0" applyAlignment="1" applyFill="1" applyFont="1" applyNumberFormat="1">
      <alignment horizontal="center" readingOrder="0" shrinkToFit="0" vertical="center" wrapText="0"/>
    </xf>
    <xf borderId="0" fillId="12" fontId="10" numFmtId="170" xfId="0" applyAlignment="1" applyFill="1" applyFont="1" applyNumberFormat="1">
      <alignment horizontal="center" shrinkToFit="0" vertical="center" wrapText="0"/>
    </xf>
    <xf borderId="0" fillId="14" fontId="10" numFmtId="0" xfId="0" applyAlignment="1" applyFill="1" applyFont="1">
      <alignment shrinkToFit="0" wrapText="1"/>
    </xf>
    <xf borderId="0" fillId="0" fontId="10" numFmtId="0" xfId="0" applyAlignment="1" applyFont="1">
      <alignment horizontal="left" readingOrder="0"/>
    </xf>
    <xf borderId="0" fillId="0" fontId="10" numFmtId="0" xfId="0" applyAlignment="1" applyFont="1">
      <alignment horizontal="center"/>
    </xf>
    <xf borderId="0" fillId="0" fontId="10" numFmtId="0" xfId="0" applyAlignment="1" applyFont="1">
      <alignment horizontal="center" vertical="center"/>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Warga TS-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16" displayName="Form_Responses" name="Form_Responses" id="1">
  <tableColumns count="13">
    <tableColumn name="Timestamp" id="1"/>
    <tableColumn name="Nama" id="2"/>
    <tableColumn name="Email" id="3"/>
    <tableColumn name="Nomor whatsapp_x000a_Nomor akan digunakan sebagai kontak utama untuk konfirmasi berlangganan dan pembayaran " id="4"/>
    <tableColumn name="Alamat lengkap_x000a_Contoh: Jl. Mallengkeri, Mangasa, Kec. Tamalate, Kota Makassar, Sulawesi Selatan" id="5"/>
    <tableColumn name="Link Gmaps_x000a_Lebih baik ada link google maps untuk memudahkan penjemputan" id="6"/>
    <tableColumn name="Langganan" id="7"/>
    <tableColumn name="Tau “Tumpuk Sampah” dari mana?" id="8"/>
    <tableColumn name="Mau tau! Alasanmu kenapa ikut langganan?" id="9"/>
    <tableColumn name="Tumpuk saranmu disini! " id="10"/>
    <tableColumn name="Apakah kamu punya masalah soal persampahan di tempat kamu tinggal?" id="11"/>
    <tableColumn name="Pekerjaan" id="12"/>
    <tableColumn name="Jumlah orang dalam rumah" id="13"/>
  </tableColumns>
  <tableStyleInfo name="Form Responses 1-style" showColumnStripes="0" showFirstColumn="1" showLastColumn="1" showRowStripes="1"/>
</table>
</file>

<file path=xl/tables/table2.xml><?xml version="1.0" encoding="utf-8"?>
<table xmlns="http://schemas.openxmlformats.org/spreadsheetml/2006/main" ref="A1:O53" displayName="WARGA_TS" name="WARGA_TS" id="2">
  <tableColumns count="15">
    <tableColumn name="No" id="1"/>
    <tableColumn name="Nama" id="2"/>
    <tableColumn name="Nomor HP/ WA" id="3"/>
    <tableColumn name="Alamat Lengkap" id="4"/>
    <tableColumn name="Awal Berlangganan" id="5"/>
    <tableColumn name="Mulai Periode (*perbaharui)" id="6"/>
    <tableColumn name="Durasi Langganan (per-bulan)" id="7"/>
    <tableColumn name="Harga Perbulan" id="8"/>
    <tableColumn name="Tanggal JATUH TEMPO LANGGANAN" id="9"/>
    <tableColumn name="Reward (KOMPOS) / 3 bulan (Agustus)" id="10"/>
    <tableColumn name="Link Google Maps" id="11"/>
    <tableColumn name="Email" id="12"/>
    <tableColumn name="Jadwal Penjemputan Sampah" id="13"/>
    <tableColumn name="Column 1" id="14"/>
    <tableColumn name="Column 2" id="15"/>
  </tableColumns>
  <tableStyleInfo name="Warga 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NpBhRFajnqm5XXF66" TargetMode="External"/><Relationship Id="rId84" Type="http://schemas.openxmlformats.org/officeDocument/2006/relationships/hyperlink" Target="https://maps.app.goo.gl/iwSgsmbU7Ypx9rE87?g_st=aw" TargetMode="External"/><Relationship Id="rId83" Type="http://schemas.openxmlformats.org/officeDocument/2006/relationships/hyperlink" Target="https://maps.app.goo.gl/Heniq22wptR1Hn4P9?g_st=ic" TargetMode="External"/><Relationship Id="rId42" Type="http://schemas.openxmlformats.org/officeDocument/2006/relationships/hyperlink" Target="https://maps.app.goo.gl/a32Rx7cDZ8quC2fB6" TargetMode="External"/><Relationship Id="rId86" Type="http://schemas.openxmlformats.org/officeDocument/2006/relationships/hyperlink" Target="https://maps.app.goo.gl/MZ5LyuM9vEQLWLLn8?g_st=ic" TargetMode="External"/><Relationship Id="rId41" Type="http://schemas.openxmlformats.org/officeDocument/2006/relationships/hyperlink" Target="https://maps.app.goo.gl/eWq7QhosDwcH2yu26" TargetMode="External"/><Relationship Id="rId85" Type="http://schemas.openxmlformats.org/officeDocument/2006/relationships/hyperlink" Target="https://maps.app.goo.gl/6nJmtYbKaSVmhEsZA?g_st=ac" TargetMode="External"/><Relationship Id="rId44" Type="http://schemas.openxmlformats.org/officeDocument/2006/relationships/hyperlink" Target="https://maps.app.goo.gl/NaG8LPByjAmzzs1A8?g_st=ic" TargetMode="External"/><Relationship Id="rId88" Type="http://schemas.openxmlformats.org/officeDocument/2006/relationships/hyperlink" Target="https://maps.app.goo.gl/AzMYnRYhVF4YV9wy9?g_st=aw" TargetMode="External"/><Relationship Id="rId43" Type="http://schemas.openxmlformats.org/officeDocument/2006/relationships/hyperlink" Target="https://maps.app.goo.gl/fGCk3XLJeWpkNduM6?g_st=ic" TargetMode="External"/><Relationship Id="rId87" Type="http://schemas.openxmlformats.org/officeDocument/2006/relationships/hyperlink" Target="https://maps.app.goo.gl/y2tA9eyf5LVKeH9FA?g_st=ic" TargetMode="External"/><Relationship Id="rId46" Type="http://schemas.openxmlformats.org/officeDocument/2006/relationships/hyperlink" Target="https://maps.app.goo.gl/j3pwHZPNBoTPcX3R9?g_st=ac" TargetMode="External"/><Relationship Id="rId45" Type="http://schemas.openxmlformats.org/officeDocument/2006/relationships/hyperlink" Target="https://maps.app.goo.gl/NaG8LPByjAmzzs1A8?g_st=ic" TargetMode="External"/><Relationship Id="rId89" Type="http://schemas.openxmlformats.org/officeDocument/2006/relationships/hyperlink" Target="https://maps.app.goo.gl/MgsfNVALQv4WcsKGA?g_st=ic" TargetMode="External"/><Relationship Id="rId80" Type="http://schemas.openxmlformats.org/officeDocument/2006/relationships/hyperlink" Target="https://share.google/T6ZKAwFx2tu1Pu1IU" TargetMode="External"/><Relationship Id="rId82" Type="http://schemas.openxmlformats.org/officeDocument/2006/relationships/hyperlink" Target="https://maps.app.goo.gl/NgFyV8m9S1KQ76Cu5" TargetMode="External"/><Relationship Id="rId81" Type="http://schemas.openxmlformats.org/officeDocument/2006/relationships/hyperlink" Target="https://maps.app.goo.gl/EEK2KxhFJeVPbihx7?g_st=ic" TargetMode="External"/><Relationship Id="rId1" Type="http://schemas.openxmlformats.org/officeDocument/2006/relationships/hyperlink" Target="https://maps.app.goo.gl/LUj8FGeSskG3jWH98?g_st=aw" TargetMode="External"/><Relationship Id="rId2" Type="http://schemas.openxmlformats.org/officeDocument/2006/relationships/hyperlink" Target="https://maps.google.com/?q=-5.214769,119.558273" TargetMode="External"/><Relationship Id="rId3" Type="http://schemas.openxmlformats.org/officeDocument/2006/relationships/hyperlink" Target="https://maps.app.goo.gl/JGxwWkTXSRG4Sbzu9?g_st=com.google.maps.preview.copy" TargetMode="External"/><Relationship Id="rId4" Type="http://schemas.openxmlformats.org/officeDocument/2006/relationships/hyperlink" Target="https://maps.app.goo.gl/SFqJD7hJ1gNXPEV96?g_st=ic" TargetMode="External"/><Relationship Id="rId9" Type="http://schemas.openxmlformats.org/officeDocument/2006/relationships/hyperlink" Target="https://maps.app.goo.gl/xWoZ32AmLpezn2SN8" TargetMode="External"/><Relationship Id="rId48" Type="http://schemas.openxmlformats.org/officeDocument/2006/relationships/hyperlink" Target="https://maps.app.goo.gl/YKUWiLYAB4WH8by9A?g_st=iw" TargetMode="External"/><Relationship Id="rId47" Type="http://schemas.openxmlformats.org/officeDocument/2006/relationships/hyperlink" Target="https://maps.app.goo.gl/29kKXXQAxHn8a9U29?g_st=ac" TargetMode="External"/><Relationship Id="rId49" Type="http://schemas.openxmlformats.org/officeDocument/2006/relationships/hyperlink" Target="https://maps.app.goo.gl/vULE4qkRpBCrVtfX8?g_st=aw" TargetMode="External"/><Relationship Id="rId5" Type="http://schemas.openxmlformats.org/officeDocument/2006/relationships/hyperlink" Target="https://maps.app.goo.gl/PNTC7f7QhN7YBepi8" TargetMode="External"/><Relationship Id="rId6" Type="http://schemas.openxmlformats.org/officeDocument/2006/relationships/hyperlink" Target="https://maps.app.goo.gl/pEDCf38KfFMBmWf56?g_st=ipc" TargetMode="External"/><Relationship Id="rId7" Type="http://schemas.openxmlformats.org/officeDocument/2006/relationships/hyperlink" Target="https://maps.app.goo.gl/chaGMgS8Z1WtaMx3A?g_st=ipc" TargetMode="External"/><Relationship Id="rId8" Type="http://schemas.openxmlformats.org/officeDocument/2006/relationships/hyperlink" Target="https://maps.app.goo.gl/E5hQN5cbymADBBb19?g_st=ipc" TargetMode="External"/><Relationship Id="rId73" Type="http://schemas.openxmlformats.org/officeDocument/2006/relationships/hyperlink" Target="https://goo.gl/maps/GwYpZVpFxjRQr5zo8?g_st=aw" TargetMode="External"/><Relationship Id="rId72" Type="http://schemas.openxmlformats.org/officeDocument/2006/relationships/hyperlink" Target="https://www.google.com/maps/place/Jl.+Tidung+8+Setapak+9+No.187,+Mappala,+Kec.+Rappocini,+Kota+Makassar,+Sulawesi+Selatan+90222/@-5.1739587,119.4483713,19z/data=!3m1!4b1!4m5!3m4!1s0x2dbee2f6c4daa7c9:0x6c6c0d81b4913390!8m2!3d-5.17396!4d119.449015!5m1!1e1?authuser=0&amp;entry=ttu&amp;g_ep=EgoyMDI2MDcyMi4wIKXMDSoASAFQAw%3D%3D" TargetMode="External"/><Relationship Id="rId31" Type="http://schemas.openxmlformats.org/officeDocument/2006/relationships/hyperlink" Target="https://maps.app.goo.gl/yQ3Zjkwfqkd3YC8h7?g_st=ac" TargetMode="External"/><Relationship Id="rId75" Type="http://schemas.openxmlformats.org/officeDocument/2006/relationships/hyperlink" Target="https://maps.app.goo.gl/W27zGMh3ySdZX1WQ6?g_st=ic" TargetMode="External"/><Relationship Id="rId30" Type="http://schemas.openxmlformats.org/officeDocument/2006/relationships/hyperlink" Target="https://maps.app.goo.gl/MZC6mpBsLa2iAH6m6?g_st=ic" TargetMode="External"/><Relationship Id="rId74" Type="http://schemas.openxmlformats.org/officeDocument/2006/relationships/hyperlink" Target="https://maps.app.goo.gl/KuVDRvr6yGBnHHLf7?g_st=ac" TargetMode="External"/><Relationship Id="rId33" Type="http://schemas.openxmlformats.org/officeDocument/2006/relationships/hyperlink" Target="https://maps.app.goo.gl/ZLR7MpWJUG5js6CEA?g_st=iwb" TargetMode="External"/><Relationship Id="rId77" Type="http://schemas.openxmlformats.org/officeDocument/2006/relationships/hyperlink" Target="https://maps.apple/p/vI0vNZDfb6jyk7" TargetMode="External"/><Relationship Id="rId32" Type="http://schemas.openxmlformats.org/officeDocument/2006/relationships/hyperlink" Target="https://maps.app.goo.gl/z3AAvAKKfL6dk69t9?g_st=ic" TargetMode="External"/><Relationship Id="rId76" Type="http://schemas.openxmlformats.org/officeDocument/2006/relationships/hyperlink" Target="https://maps.app.goo.gl/tih1LYYsEQiKAD57A?g_st=ic" TargetMode="External"/><Relationship Id="rId35" Type="http://schemas.openxmlformats.org/officeDocument/2006/relationships/hyperlink" Target="https://maps.app.goo.gl/2kh4tpB26wJYbiGi9?g_st=ac" TargetMode="External"/><Relationship Id="rId79" Type="http://schemas.openxmlformats.org/officeDocument/2006/relationships/hyperlink" Target="https://maps.app.goo.gl/TzhqcnrSebnzaxAg6" TargetMode="External"/><Relationship Id="rId34" Type="http://schemas.openxmlformats.org/officeDocument/2006/relationships/hyperlink" Target="https://maps.app.goo.gl/9Rfbh1tgEkH76P8m6?g_st=iw" TargetMode="External"/><Relationship Id="rId78" Type="http://schemas.openxmlformats.org/officeDocument/2006/relationships/hyperlink" Target="https://maps.google.com/?q=-5.132377,119.453430" TargetMode="External"/><Relationship Id="rId71" Type="http://schemas.openxmlformats.org/officeDocument/2006/relationships/hyperlink" Target="https://maps.app.goo.gl/XxWFqnPWG6aoV3vG6?g_st=ac" TargetMode="External"/><Relationship Id="rId70" Type="http://schemas.openxmlformats.org/officeDocument/2006/relationships/hyperlink" Target="https://maps.app.goo.gl/gBARr1HnPwEqJ8oY8?g_st=ic" TargetMode="External"/><Relationship Id="rId37" Type="http://schemas.openxmlformats.org/officeDocument/2006/relationships/hyperlink" Target="https://maps.app.goo.gl/JBmCjn6oquCFQCkQ6" TargetMode="External"/><Relationship Id="rId36" Type="http://schemas.openxmlformats.org/officeDocument/2006/relationships/hyperlink" Target="https://maps.app.goo.gl/24DkqUaqdEVoJb2o7" TargetMode="External"/><Relationship Id="rId39" Type="http://schemas.openxmlformats.org/officeDocument/2006/relationships/hyperlink" Target="https://maps.app.goo.gl/jQVMmNL8JWHtvBBe6?g_st=ac" TargetMode="External"/><Relationship Id="rId38" Type="http://schemas.openxmlformats.org/officeDocument/2006/relationships/hyperlink" Target="https://maps.app.goo.gl/oX7Vcg1V8QoNf6oeA" TargetMode="External"/><Relationship Id="rId62" Type="http://schemas.openxmlformats.org/officeDocument/2006/relationships/hyperlink" Target="https://maps.app.goo.gl/ZNDNFv9jzntkw7sK7?g_st=ic" TargetMode="External"/><Relationship Id="rId61" Type="http://schemas.openxmlformats.org/officeDocument/2006/relationships/hyperlink" Target="https://maps.app.goo.gl/xBAZeaYP9KXyP44LA?g_st=iw" TargetMode="External"/><Relationship Id="rId20" Type="http://schemas.openxmlformats.org/officeDocument/2006/relationships/hyperlink" Target="https://maps.google.com/?q=-5.143088,119.448891" TargetMode="External"/><Relationship Id="rId64" Type="http://schemas.openxmlformats.org/officeDocument/2006/relationships/hyperlink" Target="https://share.google/eyp7EyWoGtzDd6x5P" TargetMode="External"/><Relationship Id="rId63" Type="http://schemas.openxmlformats.org/officeDocument/2006/relationships/hyperlink" Target="https://maps.app.goo.gl/hxiGPdT6bxA2at4GA?g_st=iw" TargetMode="External"/><Relationship Id="rId22" Type="http://schemas.openxmlformats.org/officeDocument/2006/relationships/hyperlink" Target="https://maps.app.goo.gl/FrBh6sYodTRxG1WV6" TargetMode="External"/><Relationship Id="rId66" Type="http://schemas.openxmlformats.org/officeDocument/2006/relationships/hyperlink" Target="https://maps.app.goo.gl/EjNCUFcETrDZKvft9?g_st=ic" TargetMode="External"/><Relationship Id="rId21" Type="http://schemas.openxmlformats.org/officeDocument/2006/relationships/hyperlink" Target="https://maps.google.com/?q=-5.143088,119.448891" TargetMode="External"/><Relationship Id="rId65" Type="http://schemas.openxmlformats.org/officeDocument/2006/relationships/hyperlink" Target="https://maps.app.goo.gl/v4ZeukL8HPpvmv386?g_st=aw" TargetMode="External"/><Relationship Id="rId24" Type="http://schemas.openxmlformats.org/officeDocument/2006/relationships/hyperlink" Target="https://maps.app.goo.gl/fvwzPafrHQXCErTM9" TargetMode="External"/><Relationship Id="rId68" Type="http://schemas.openxmlformats.org/officeDocument/2006/relationships/hyperlink" Target="https://maps.app.goo.gl/7yJVBcFt2aXoXiUs7?g_st=ic" TargetMode="External"/><Relationship Id="rId23" Type="http://schemas.openxmlformats.org/officeDocument/2006/relationships/hyperlink" Target="https://maps.app.goo.gl/GiidRA6XmeMJHLmXA?g_st=ac" TargetMode="External"/><Relationship Id="rId67" Type="http://schemas.openxmlformats.org/officeDocument/2006/relationships/hyperlink" Target="https://maps.app.goo.gl/ZQ9nKJ778NsgSYCu7" TargetMode="External"/><Relationship Id="rId60" Type="http://schemas.openxmlformats.org/officeDocument/2006/relationships/hyperlink" Target="https://share.google/l6oU54VKGqRSoSAXp" TargetMode="External"/><Relationship Id="rId26" Type="http://schemas.openxmlformats.org/officeDocument/2006/relationships/hyperlink" Target="https://share.google/MQid41Kp27GHISKns" TargetMode="External"/><Relationship Id="rId25" Type="http://schemas.openxmlformats.org/officeDocument/2006/relationships/hyperlink" Target="https://maps.app.goo.gl/KK961BAYPC9sNU5w8?g_st=ic" TargetMode="External"/><Relationship Id="rId69" Type="http://schemas.openxmlformats.org/officeDocument/2006/relationships/hyperlink" Target="https://goo.gl/maps/2bc2smd6vhRkSos28" TargetMode="External"/><Relationship Id="rId28" Type="http://schemas.openxmlformats.org/officeDocument/2006/relationships/hyperlink" Target="https://share.google/dXAg5A0aOeoyrEEsq" TargetMode="External"/><Relationship Id="rId27" Type="http://schemas.openxmlformats.org/officeDocument/2006/relationships/hyperlink" Target="https://maps.app.goo.gl/wwrmxpVAjj1496EG8" TargetMode="External"/><Relationship Id="rId29" Type="http://schemas.openxmlformats.org/officeDocument/2006/relationships/hyperlink" Target="https://share.google/reSGDWrZrE39Dbl3I" TargetMode="External"/><Relationship Id="rId51" Type="http://schemas.openxmlformats.org/officeDocument/2006/relationships/hyperlink" Target="https://maps.app.goo.gl/MDo7hMkY44vVyba17" TargetMode="External"/><Relationship Id="rId95" Type="http://schemas.openxmlformats.org/officeDocument/2006/relationships/table" Target="../tables/table1.xml"/><Relationship Id="rId50" Type="http://schemas.openxmlformats.org/officeDocument/2006/relationships/hyperlink" Target="https://maps.app.goo.gl/htQdQ2PQueQeuRMbA?g_st=ac" TargetMode="External"/><Relationship Id="rId53" Type="http://schemas.openxmlformats.org/officeDocument/2006/relationships/hyperlink" Target="https://maps.app.goo.gl/ob9mPuuf16jjQQPZ9?g_st=ic" TargetMode="External"/><Relationship Id="rId52" Type="http://schemas.openxmlformats.org/officeDocument/2006/relationships/hyperlink" Target="https://maps.app.goo.gl/FWASbXBBgdK865sv8" TargetMode="External"/><Relationship Id="rId11" Type="http://schemas.openxmlformats.org/officeDocument/2006/relationships/hyperlink" Target="https://maps.app.goo.gl/GFwbu5UChVCufE6x7?g_st=ipc" TargetMode="External"/><Relationship Id="rId55" Type="http://schemas.openxmlformats.org/officeDocument/2006/relationships/hyperlink" Target="https://maps.app.goo.gl/sLCjLZLdRyeRFqX68?g_st=ic" TargetMode="External"/><Relationship Id="rId10" Type="http://schemas.openxmlformats.org/officeDocument/2006/relationships/hyperlink" Target="https://maps.app.goo.gl/V5YQPChPwNYSUEpY6" TargetMode="External"/><Relationship Id="rId54" Type="http://schemas.openxmlformats.org/officeDocument/2006/relationships/hyperlink" Target="https://maps.app.goo.gl/5y6EiF5UgtMw5s9BA?g_st=ic" TargetMode="External"/><Relationship Id="rId13" Type="http://schemas.openxmlformats.org/officeDocument/2006/relationships/hyperlink" Target="https://maps.app.goo.gl/cv7sCm7fWgLJ22mLA?g_st=ic" TargetMode="External"/><Relationship Id="rId57" Type="http://schemas.openxmlformats.org/officeDocument/2006/relationships/hyperlink" Target="https://maps.app.goo.gl/2yXzszqUQHb2wrfR8?g_st=aw" TargetMode="External"/><Relationship Id="rId12" Type="http://schemas.openxmlformats.org/officeDocument/2006/relationships/hyperlink" Target="https://maps.app.goo.gl/ysykjK12LGQS3Xdo8?g_st=aw" TargetMode="External"/><Relationship Id="rId56" Type="http://schemas.openxmlformats.org/officeDocument/2006/relationships/hyperlink" Target="https://maps.app.goo.gl/EeqjpFj3oQJUfQ5J8?g_st=ac" TargetMode="External"/><Relationship Id="rId91" Type="http://schemas.openxmlformats.org/officeDocument/2006/relationships/hyperlink" Target="https://maps.app.goo.gl/9xJ6qiGjta2KA1PHA?g_st=ic" TargetMode="External"/><Relationship Id="rId90" Type="http://schemas.openxmlformats.org/officeDocument/2006/relationships/hyperlink" Target="https://goo.gl/maps/pSscF45YLkzrDK7R8?g_st=aw" TargetMode="External"/><Relationship Id="rId93" Type="http://schemas.openxmlformats.org/officeDocument/2006/relationships/drawing" Target="../drawings/drawing1.xml"/><Relationship Id="rId92" Type="http://schemas.openxmlformats.org/officeDocument/2006/relationships/hyperlink" Target="https://maps.app.goo.gl/DCQH781YMNfLUNvS9?g_st=ic" TargetMode="External"/><Relationship Id="rId15" Type="http://schemas.openxmlformats.org/officeDocument/2006/relationships/hyperlink" Target="https://maps.app.goo.gl/vmz2AVZa2HDQgFR36" TargetMode="External"/><Relationship Id="rId59" Type="http://schemas.openxmlformats.org/officeDocument/2006/relationships/hyperlink" Target="https://maps.app.goo.gl/Q4koztnTQox259kv9?g_st=iw" TargetMode="External"/><Relationship Id="rId14" Type="http://schemas.openxmlformats.org/officeDocument/2006/relationships/hyperlink" Target="https://maps.app.goo.gl/d5nPdYRnsVGJw8yw9?g_st=ic" TargetMode="External"/><Relationship Id="rId58" Type="http://schemas.openxmlformats.org/officeDocument/2006/relationships/hyperlink" Target="https://maps.app.goo.gl/5KFy6WJiYJgX5JBt5?g_st=ic" TargetMode="External"/><Relationship Id="rId17" Type="http://schemas.openxmlformats.org/officeDocument/2006/relationships/hyperlink" Target="https://maps.app.goo.gl/ahQdGZ628THwn2Ct9?g_st=ic" TargetMode="External"/><Relationship Id="rId16" Type="http://schemas.openxmlformats.org/officeDocument/2006/relationships/hyperlink" Target="https://maps.google.com/?q=Kadir%20Meubel,%20Jalan%20Naja%20Dg.%20Nai,%20Rappokalling,%20Makassar%20City,%20South%20Sulawesi&amp;ftid=0x2dbefd695444ff93:0xcc3abb25a9f73d7c&amp;entry=gps&amp;shh=CAE&amp;lucs=,94297699,94284490,94231188,94280568,47071704,94218641,94282134,100799877,94286869&amp;g_st=ic" TargetMode="External"/><Relationship Id="rId19" Type="http://schemas.openxmlformats.org/officeDocument/2006/relationships/hyperlink" Target="https://maps.app.goo.gl/BxBiT3p1B57yWwz78" TargetMode="External"/><Relationship Id="rId18" Type="http://schemas.openxmlformats.org/officeDocument/2006/relationships/hyperlink" Target="https://maps.app.goo.gl/zP2USMs5FXp1T4CK9?g_st=aw"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maps.app.goo.gl/7yJVBcFt2aXoXiUs7?g_st=ic" TargetMode="External"/><Relationship Id="rId42" Type="http://schemas.openxmlformats.org/officeDocument/2006/relationships/hyperlink" Target="https://maps.app.goo.gl/CykJ7eAGf5H3yTUc9?g_st=ac" TargetMode="External"/><Relationship Id="rId41" Type="http://schemas.openxmlformats.org/officeDocument/2006/relationships/hyperlink" Target="https://maps.app.goo.gl/cFwZdMAN8WNwtNgM9" TargetMode="External"/><Relationship Id="rId44" Type="http://schemas.openxmlformats.org/officeDocument/2006/relationships/hyperlink" Target="https://maps.app.goo.gl/SEuG8FWQYpM6yjfL7" TargetMode="External"/><Relationship Id="rId43" Type="http://schemas.openxmlformats.org/officeDocument/2006/relationships/hyperlink" Target="https://maps.app.goo.gl/2gVs8VJwndohpmW88" TargetMode="External"/><Relationship Id="rId46" Type="http://schemas.openxmlformats.org/officeDocument/2006/relationships/drawing" Target="../drawings/drawing2.xml"/><Relationship Id="rId45" Type="http://schemas.openxmlformats.org/officeDocument/2006/relationships/hyperlink" Target="https://maps.app.goo.gl/z98RcHfhCEnFTMN17" TargetMode="External"/><Relationship Id="rId1" Type="http://schemas.openxmlformats.org/officeDocument/2006/relationships/comments" Target="../comments1.xml"/><Relationship Id="rId2" Type="http://schemas.openxmlformats.org/officeDocument/2006/relationships/hyperlink" Target="https://maps.google.com/?q=-5.214769,119.558273" TargetMode="External"/><Relationship Id="rId3" Type="http://schemas.openxmlformats.org/officeDocument/2006/relationships/hyperlink" Target="https://maps.app.goo.gl/BxBiT3p1B57yWwz78" TargetMode="External"/><Relationship Id="rId4" Type="http://schemas.openxmlformats.org/officeDocument/2006/relationships/hyperlink" Target="https://maps.app.goo.gl/jQVMmNL8JWHtvBBe6?g_st=ac" TargetMode="External"/><Relationship Id="rId9" Type="http://schemas.openxmlformats.org/officeDocument/2006/relationships/hyperlink" Target="https://maps.app.goo.gl/JBmCjn6oquCFQCkQ6" TargetMode="External"/><Relationship Id="rId47" Type="http://schemas.openxmlformats.org/officeDocument/2006/relationships/vmlDrawing" Target="../drawings/vmlDrawing1.vml"/><Relationship Id="rId49" Type="http://schemas.openxmlformats.org/officeDocument/2006/relationships/table" Target="../tables/table2.xml"/><Relationship Id="rId5" Type="http://schemas.openxmlformats.org/officeDocument/2006/relationships/hyperlink" Target="https://maps.app.goo.gl/PNTC7f7QhN7YBepi8" TargetMode="External"/><Relationship Id="rId6" Type="http://schemas.openxmlformats.org/officeDocument/2006/relationships/hyperlink" Target="https://maps.google.com/?q=-5.143088,119.448891" TargetMode="External"/><Relationship Id="rId7" Type="http://schemas.openxmlformats.org/officeDocument/2006/relationships/hyperlink" Target="https://maps.google.com/?q=-5.143088,119.448891" TargetMode="External"/><Relationship Id="rId8" Type="http://schemas.openxmlformats.org/officeDocument/2006/relationships/hyperlink" Target="https://maps.app.goo.gl/wwrmxpVAjj1496EG8" TargetMode="External"/><Relationship Id="rId31" Type="http://schemas.openxmlformats.org/officeDocument/2006/relationships/hyperlink" Target="https://maps.app.goo.gl/pEDCf38KfFMBmWf56?g_st=ipc" TargetMode="External"/><Relationship Id="rId30" Type="http://schemas.openxmlformats.org/officeDocument/2006/relationships/hyperlink" Target="https://maps.app.goo.gl/ghvq3YCZs7onXoxQ8?g_st=ic" TargetMode="External"/><Relationship Id="rId33" Type="http://schemas.openxmlformats.org/officeDocument/2006/relationships/hyperlink" Target="https://maps.app.goo.gl/ysykjK12LGQS3Xdo8?g_st=aw" TargetMode="External"/><Relationship Id="rId32" Type="http://schemas.openxmlformats.org/officeDocument/2006/relationships/hyperlink" Target="https://maps.app.goo.gl/chaGMgS8Z1WtaMx3A?g_st=ipc" TargetMode="External"/><Relationship Id="rId35" Type="http://schemas.openxmlformats.org/officeDocument/2006/relationships/hyperlink" Target="https://maps.app.goo.gl/j3pwHZPNBoTPcX3R9?g_st=ac" TargetMode="External"/><Relationship Id="rId34" Type="http://schemas.openxmlformats.org/officeDocument/2006/relationships/hyperlink" Target="https://maps.app.goo.gl/FrBh6sYodTRxG1WV6" TargetMode="External"/><Relationship Id="rId37" Type="http://schemas.openxmlformats.org/officeDocument/2006/relationships/hyperlink" Target="https://maps.app.goo.gl/htQdQ2PQueQeuRMbA?g_st=ac" TargetMode="External"/><Relationship Id="rId36" Type="http://schemas.openxmlformats.org/officeDocument/2006/relationships/hyperlink" Target="https://maps.app.goo.gl/YKUWiLYAB4WH8by9A?g_st=iw" TargetMode="External"/><Relationship Id="rId39" Type="http://schemas.openxmlformats.org/officeDocument/2006/relationships/hyperlink" Target="https://share.google/l6oU54VKGqRSoSAXp" TargetMode="External"/><Relationship Id="rId38" Type="http://schemas.openxmlformats.org/officeDocument/2006/relationships/hyperlink" Target="https://maps.app.goo.gl/Q4koztnTQox259kv9?g_st=iw" TargetMode="External"/><Relationship Id="rId20" Type="http://schemas.openxmlformats.org/officeDocument/2006/relationships/hyperlink" Target="https://maps.app.goo.gl/AzMYnRYhVF4YV9wy9?g_st=aw" TargetMode="External"/><Relationship Id="rId22" Type="http://schemas.openxmlformats.org/officeDocument/2006/relationships/hyperlink" Target="https://maps.app.goo.gl/GFwbu5UChVCufE6x7?g_st=ipc" TargetMode="External"/><Relationship Id="rId21" Type="http://schemas.openxmlformats.org/officeDocument/2006/relationships/hyperlink" Target="https://maps.app.goo.gl/p5pWEAaKrZJUe3CX6?g_st=ic" TargetMode="External"/><Relationship Id="rId24" Type="http://schemas.openxmlformats.org/officeDocument/2006/relationships/hyperlink" Target="https://maps.app.goo.gl/KK961BAYPC9sNU5w8?g_st=ic" TargetMode="External"/><Relationship Id="rId23" Type="http://schemas.openxmlformats.org/officeDocument/2006/relationships/hyperlink" Target="https://maps.app.goo.gl/cv7sCm7fWgLJ22mLA?g_st=ic" TargetMode="External"/><Relationship Id="rId26" Type="http://schemas.openxmlformats.org/officeDocument/2006/relationships/hyperlink" Target="https://maps.app.goo.gl/2kh4tpB26wJYbiGi9?g_st=ac" TargetMode="External"/><Relationship Id="rId25" Type="http://schemas.openxmlformats.org/officeDocument/2006/relationships/hyperlink" Target="https://maps.app.goo.gl/9Rfbh1tgEkH76P8m6?g_st=iw" TargetMode="External"/><Relationship Id="rId28" Type="http://schemas.openxmlformats.org/officeDocument/2006/relationships/hyperlink" Target="https://maps.app.goo.gl/ZNDNFv9jzntkw7sK7?g_st=ic" TargetMode="External"/><Relationship Id="rId27" Type="http://schemas.openxmlformats.org/officeDocument/2006/relationships/hyperlink" Target="https://maps.app.goo.gl/vULE4qkRpBCrVtfX8?g_st=aw" TargetMode="External"/><Relationship Id="rId29" Type="http://schemas.openxmlformats.org/officeDocument/2006/relationships/hyperlink" Target="https://goo.gl/maps/pSscF45YLkzrDK7R8?g_st=aw" TargetMode="External"/><Relationship Id="rId11" Type="http://schemas.openxmlformats.org/officeDocument/2006/relationships/hyperlink" Target="https://maps.app.goo.gl/hxiGPdT6bxA2at4GA?g_st=iw" TargetMode="External"/><Relationship Id="rId10" Type="http://schemas.openxmlformats.org/officeDocument/2006/relationships/hyperlink" Target="https://maps.app.goo.gl/sLCjLZLdRyeRFqX68?g_st=ic" TargetMode="External"/><Relationship Id="rId13" Type="http://schemas.openxmlformats.org/officeDocument/2006/relationships/hyperlink" Target="https://maps.app.goo.gl/y2tA9eyf5LVKeH9FA?g_st=ic" TargetMode="External"/><Relationship Id="rId12" Type="http://schemas.openxmlformats.org/officeDocument/2006/relationships/hyperlink" Target="https://maps.app.goo.gl/EEK2KxhFJeVPbihx7?g_st=ic" TargetMode="External"/><Relationship Id="rId15" Type="http://schemas.openxmlformats.org/officeDocument/2006/relationships/hyperlink" Target="https://maps.app.goo.gl/29kKXXQAxHn8a9U29?g_st=ac" TargetMode="External"/><Relationship Id="rId14" Type="http://schemas.openxmlformats.org/officeDocument/2006/relationships/hyperlink" Target="https://maps.app.goo.gl/PNTC7f7QhN7YBepi8" TargetMode="External"/><Relationship Id="rId17" Type="http://schemas.openxmlformats.org/officeDocument/2006/relationships/hyperlink" Target="https://share.google/2lVGtEZo70rY108iN" TargetMode="External"/><Relationship Id="rId16" Type="http://schemas.openxmlformats.org/officeDocument/2006/relationships/hyperlink" Target="https://maps.app.goo.gl/kqySqxZs6FMDCEiJA" TargetMode="External"/><Relationship Id="rId19" Type="http://schemas.openxmlformats.org/officeDocument/2006/relationships/hyperlink" Target="https://maps.app.goo.gl/SDjx5UkyAchUg3W66" TargetMode="External"/><Relationship Id="rId18" Type="http://schemas.openxmlformats.org/officeDocument/2006/relationships/hyperlink" Target="https://maps.app.goo.gl/81BawaR47kp1u6P3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9.38"/>
    <col customWidth="1" min="4" max="6" width="37.63"/>
    <col customWidth="1" min="7" max="7" width="18.88"/>
    <col customWidth="1" min="8" max="8" width="30.13"/>
    <col customWidth="1" min="9" max="9" width="36.88"/>
    <col customWidth="1" min="10" max="10" width="23.13"/>
    <col customWidth="1" min="11" max="19" width="18.88"/>
  </cols>
  <sheetData>
    <row r="1" ht="22.5" customHeight="1">
      <c r="A1" s="25" t="s">
        <v>21</v>
      </c>
      <c r="B1" s="25" t="s">
        <v>2</v>
      </c>
      <c r="C1" s="25" t="s">
        <v>24</v>
      </c>
      <c r="D1" s="25" t="s">
        <v>26</v>
      </c>
      <c r="E1" s="34" t="s">
        <v>29</v>
      </c>
      <c r="F1" s="25" t="s">
        <v>31</v>
      </c>
      <c r="G1" s="25" t="s">
        <v>33</v>
      </c>
      <c r="H1" s="25" t="s">
        <v>35</v>
      </c>
      <c r="I1" s="25" t="s">
        <v>37</v>
      </c>
      <c r="J1" s="25" t="s">
        <v>39</v>
      </c>
      <c r="K1" s="42" t="s">
        <v>41</v>
      </c>
      <c r="L1" s="42" t="s">
        <v>44</v>
      </c>
      <c r="M1" s="42" t="s">
        <v>46</v>
      </c>
    </row>
    <row r="2" ht="22.5" customHeight="1">
      <c r="A2" s="49">
        <v>45795.29234076389</v>
      </c>
      <c r="B2" s="52" t="s">
        <v>50</v>
      </c>
      <c r="C2" s="52" t="s">
        <v>51</v>
      </c>
      <c r="D2" s="56" t="s">
        <v>52</v>
      </c>
      <c r="E2" s="52" t="s">
        <v>54</v>
      </c>
      <c r="F2" s="73" t="s">
        <v>56</v>
      </c>
      <c r="G2" s="52" t="s">
        <v>59</v>
      </c>
      <c r="H2" s="52" t="s">
        <v>60</v>
      </c>
      <c r="I2" s="76"/>
      <c r="J2" s="52" t="s">
        <v>61</v>
      </c>
      <c r="K2" s="78"/>
      <c r="L2" s="78"/>
      <c r="M2" s="78"/>
    </row>
    <row r="3" ht="22.5" customHeight="1">
      <c r="A3" s="49">
        <v>45833.39717710648</v>
      </c>
      <c r="B3" s="52" t="s">
        <v>27</v>
      </c>
      <c r="C3" s="52" t="s">
        <v>63</v>
      </c>
      <c r="D3" s="56" t="s">
        <v>53</v>
      </c>
      <c r="E3" s="52" t="s">
        <v>55</v>
      </c>
      <c r="F3" s="73" t="s">
        <v>58</v>
      </c>
      <c r="G3" s="52" t="s">
        <v>59</v>
      </c>
      <c r="H3" s="52" t="s">
        <v>60</v>
      </c>
      <c r="I3" s="76"/>
      <c r="J3" s="52" t="s">
        <v>69</v>
      </c>
      <c r="K3" s="78"/>
      <c r="L3" s="78"/>
      <c r="M3" s="78"/>
    </row>
    <row r="4" ht="22.5" customHeight="1">
      <c r="A4" s="49">
        <v>45834.49630298611</v>
      </c>
      <c r="B4" s="52" t="s">
        <v>71</v>
      </c>
      <c r="C4" s="52" t="s">
        <v>72</v>
      </c>
      <c r="D4" s="56" t="s">
        <v>73</v>
      </c>
      <c r="E4" s="52" t="s">
        <v>76</v>
      </c>
      <c r="F4" s="73" t="s">
        <v>77</v>
      </c>
      <c r="G4" s="52" t="s">
        <v>59</v>
      </c>
      <c r="H4" s="52" t="s">
        <v>60</v>
      </c>
      <c r="I4" s="76"/>
      <c r="J4" s="52" t="s">
        <v>80</v>
      </c>
      <c r="K4" s="78"/>
      <c r="L4" s="78"/>
      <c r="M4" s="78"/>
    </row>
    <row r="5" ht="22.5" customHeight="1">
      <c r="A5" s="49">
        <v>45839.73368366898</v>
      </c>
      <c r="B5" s="52" t="s">
        <v>82</v>
      </c>
      <c r="C5" s="52" t="s">
        <v>84</v>
      </c>
      <c r="D5" s="56" t="s">
        <v>85</v>
      </c>
      <c r="E5" s="52" t="s">
        <v>88</v>
      </c>
      <c r="F5" s="73" t="s">
        <v>89</v>
      </c>
      <c r="G5" s="52" t="s">
        <v>90</v>
      </c>
      <c r="H5" s="52" t="s">
        <v>91</v>
      </c>
      <c r="I5" s="76"/>
      <c r="J5" s="52" t="s">
        <v>93</v>
      </c>
      <c r="K5" s="78"/>
      <c r="L5" s="78"/>
      <c r="M5" s="78"/>
    </row>
    <row r="6" ht="22.5" customHeight="1">
      <c r="A6" s="49">
        <v>45842.63785616898</v>
      </c>
      <c r="B6" s="52" t="s">
        <v>43</v>
      </c>
      <c r="C6" s="52" t="s">
        <v>95</v>
      </c>
      <c r="D6" s="56" t="s">
        <v>96</v>
      </c>
      <c r="E6" s="52" t="s">
        <v>98</v>
      </c>
      <c r="F6" s="73" t="s">
        <v>99</v>
      </c>
      <c r="G6" s="52" t="s">
        <v>90</v>
      </c>
      <c r="H6" s="52" t="s">
        <v>101</v>
      </c>
      <c r="I6" s="76"/>
      <c r="J6" s="52" t="s">
        <v>102</v>
      </c>
      <c r="K6" s="78"/>
      <c r="L6" s="78"/>
      <c r="M6" s="78"/>
    </row>
    <row r="7" ht="22.5" customHeight="1">
      <c r="A7" s="49">
        <v>45910.99492880787</v>
      </c>
      <c r="B7" s="52" t="s">
        <v>103</v>
      </c>
      <c r="C7" s="52" t="s">
        <v>104</v>
      </c>
      <c r="D7" s="56" t="s">
        <v>105</v>
      </c>
      <c r="E7" s="52" t="s">
        <v>106</v>
      </c>
      <c r="F7" s="73" t="s">
        <v>107</v>
      </c>
      <c r="G7" s="52" t="s">
        <v>90</v>
      </c>
      <c r="H7" s="52" t="s">
        <v>60</v>
      </c>
      <c r="I7" s="76"/>
      <c r="J7" s="52" t="s">
        <v>64</v>
      </c>
      <c r="K7" s="78"/>
      <c r="L7" s="78"/>
      <c r="M7" s="78"/>
    </row>
    <row r="8" ht="22.5" customHeight="1">
      <c r="A8" s="49">
        <v>45926.8146591088</v>
      </c>
      <c r="B8" s="52" t="s">
        <v>109</v>
      </c>
      <c r="C8" s="52" t="s">
        <v>110</v>
      </c>
      <c r="D8" s="56" t="s">
        <v>111</v>
      </c>
      <c r="E8" s="52" t="s">
        <v>112</v>
      </c>
      <c r="F8" s="52" t="s">
        <v>115</v>
      </c>
      <c r="G8" s="52" t="s">
        <v>59</v>
      </c>
      <c r="H8" s="52" t="s">
        <v>60</v>
      </c>
      <c r="I8" s="52" t="s">
        <v>116</v>
      </c>
      <c r="J8" s="76"/>
      <c r="K8" s="76"/>
      <c r="L8" s="76"/>
      <c r="M8" s="76"/>
    </row>
    <row r="9" ht="22.5" customHeight="1">
      <c r="A9" s="119">
        <v>45931.433584004626</v>
      </c>
      <c r="B9" s="121" t="s">
        <v>68</v>
      </c>
      <c r="C9" s="121" t="s">
        <v>120</v>
      </c>
      <c r="D9" s="122" t="s">
        <v>121</v>
      </c>
      <c r="E9" s="121" t="s">
        <v>122</v>
      </c>
      <c r="F9" s="123" t="s">
        <v>123</v>
      </c>
      <c r="G9" s="121" t="s">
        <v>59</v>
      </c>
      <c r="H9" s="121" t="s">
        <v>60</v>
      </c>
      <c r="I9" s="121" t="s">
        <v>127</v>
      </c>
      <c r="J9" s="121" t="s">
        <v>128</v>
      </c>
      <c r="K9" s="124"/>
      <c r="L9" s="124"/>
      <c r="M9" s="124"/>
    </row>
    <row r="10" ht="22.5" customHeight="1">
      <c r="A10" s="119">
        <v>45946.0444334375</v>
      </c>
      <c r="B10" s="121" t="s">
        <v>132</v>
      </c>
      <c r="C10" s="121" t="s">
        <v>133</v>
      </c>
      <c r="D10" s="122" t="s">
        <v>134</v>
      </c>
      <c r="E10" s="121" t="s">
        <v>135</v>
      </c>
      <c r="F10" s="123" t="s">
        <v>137</v>
      </c>
      <c r="G10" s="121" t="s">
        <v>90</v>
      </c>
      <c r="H10" s="121" t="s">
        <v>60</v>
      </c>
      <c r="I10" s="121" t="s">
        <v>139</v>
      </c>
    </row>
    <row r="11" ht="22.5" customHeight="1">
      <c r="A11" s="119">
        <v>45960.346936354166</v>
      </c>
      <c r="B11" s="121" t="s">
        <v>141</v>
      </c>
      <c r="C11" s="121" t="s">
        <v>142</v>
      </c>
      <c r="D11" s="122" t="s">
        <v>144</v>
      </c>
      <c r="E11" s="121" t="s">
        <v>145</v>
      </c>
      <c r="F11" s="123" t="s">
        <v>146</v>
      </c>
      <c r="G11" s="121" t="s">
        <v>59</v>
      </c>
      <c r="H11" s="121" t="s">
        <v>60</v>
      </c>
      <c r="I11" s="121" t="s">
        <v>150</v>
      </c>
    </row>
    <row r="12" ht="22.5" customHeight="1">
      <c r="A12" s="119">
        <v>46020.862104224536</v>
      </c>
      <c r="B12" s="121" t="s">
        <v>151</v>
      </c>
      <c r="C12" s="121" t="s">
        <v>152</v>
      </c>
      <c r="D12" s="122" t="s">
        <v>154</v>
      </c>
      <c r="E12" s="121" t="s">
        <v>155</v>
      </c>
      <c r="F12" s="123" t="s">
        <v>157</v>
      </c>
      <c r="G12" s="121" t="s">
        <v>59</v>
      </c>
      <c r="H12" s="121" t="s">
        <v>60</v>
      </c>
      <c r="I12" s="121" t="s">
        <v>160</v>
      </c>
    </row>
    <row r="13" ht="22.5" customHeight="1">
      <c r="A13" s="119">
        <v>46022.50646380787</v>
      </c>
      <c r="B13" s="121" t="s">
        <v>75</v>
      </c>
      <c r="C13" s="121" t="s">
        <v>163</v>
      </c>
      <c r="D13" s="122" t="s">
        <v>165</v>
      </c>
      <c r="E13" s="121" t="s">
        <v>166</v>
      </c>
      <c r="F13" s="123" t="s">
        <v>167</v>
      </c>
      <c r="G13" s="121" t="s">
        <v>90</v>
      </c>
      <c r="H13" s="121" t="s">
        <v>60</v>
      </c>
      <c r="I13" s="121" t="s">
        <v>170</v>
      </c>
      <c r="J13" s="121" t="s">
        <v>172</v>
      </c>
      <c r="K13" s="124"/>
      <c r="L13" s="124"/>
      <c r="M13" s="124"/>
    </row>
    <row r="14" ht="22.5" customHeight="1">
      <c r="A14" s="119">
        <v>46022.51264813657</v>
      </c>
      <c r="B14" s="121" t="s">
        <v>174</v>
      </c>
      <c r="C14" s="121" t="s">
        <v>176</v>
      </c>
      <c r="D14" s="122" t="s">
        <v>177</v>
      </c>
      <c r="E14" s="121" t="s">
        <v>179</v>
      </c>
      <c r="F14" s="121" t="s">
        <v>181</v>
      </c>
      <c r="G14" s="121" t="s">
        <v>59</v>
      </c>
      <c r="H14" s="121" t="s">
        <v>60</v>
      </c>
      <c r="I14" s="121" t="s">
        <v>183</v>
      </c>
      <c r="J14" s="121" t="s">
        <v>184</v>
      </c>
      <c r="K14" s="124"/>
      <c r="L14" s="124"/>
      <c r="M14" s="124"/>
    </row>
    <row r="15" ht="22.5" customHeight="1">
      <c r="A15" s="119">
        <v>46022.63159549769</v>
      </c>
      <c r="B15" s="121" t="s">
        <v>189</v>
      </c>
      <c r="C15" s="121" t="s">
        <v>190</v>
      </c>
      <c r="D15" s="122" t="s">
        <v>191</v>
      </c>
      <c r="E15" s="121" t="s">
        <v>192</v>
      </c>
      <c r="F15" s="121" t="s">
        <v>193</v>
      </c>
      <c r="G15" s="121" t="s">
        <v>59</v>
      </c>
      <c r="H15" s="121" t="s">
        <v>195</v>
      </c>
      <c r="I15" s="121" t="s">
        <v>196</v>
      </c>
    </row>
    <row r="16" ht="22.5" customHeight="1">
      <c r="A16" s="119">
        <v>46135.50833438657</v>
      </c>
      <c r="B16" s="121" t="s">
        <v>87</v>
      </c>
      <c r="C16" s="121" t="s">
        <v>198</v>
      </c>
      <c r="D16" s="122" t="s">
        <v>199</v>
      </c>
      <c r="E16" s="121" t="s">
        <v>200</v>
      </c>
      <c r="F16" s="123" t="s">
        <v>201</v>
      </c>
      <c r="G16" s="121" t="s">
        <v>90</v>
      </c>
      <c r="H16" s="121" t="s">
        <v>60</v>
      </c>
      <c r="I16" s="121" t="s">
        <v>205</v>
      </c>
      <c r="J16" s="121" t="s">
        <v>64</v>
      </c>
      <c r="K16" s="121" t="s">
        <v>208</v>
      </c>
      <c r="L16" s="124"/>
      <c r="M16" s="124"/>
    </row>
    <row r="17" ht="22.5" customHeight="1">
      <c r="A17" s="119">
        <v>46135.62593368055</v>
      </c>
      <c r="B17" s="121" t="s">
        <v>92</v>
      </c>
      <c r="C17" s="121" t="s">
        <v>210</v>
      </c>
      <c r="D17" s="122" t="s">
        <v>211</v>
      </c>
      <c r="E17" s="121" t="s">
        <v>212</v>
      </c>
      <c r="F17" s="123" t="s">
        <v>214</v>
      </c>
      <c r="G17" s="121" t="s">
        <v>216</v>
      </c>
      <c r="H17" s="121" t="s">
        <v>60</v>
      </c>
      <c r="I17" s="121" t="s">
        <v>218</v>
      </c>
      <c r="K17" s="121" t="s">
        <v>219</v>
      </c>
      <c r="L17" s="124"/>
      <c r="M17" s="124"/>
    </row>
    <row r="18" ht="22.5" customHeight="1">
      <c r="A18" s="119">
        <v>46135.71041104167</v>
      </c>
      <c r="B18" s="121" t="s">
        <v>221</v>
      </c>
      <c r="C18" s="121" t="s">
        <v>223</v>
      </c>
      <c r="D18" s="122" t="s">
        <v>165</v>
      </c>
      <c r="E18" s="121" t="s">
        <v>225</v>
      </c>
      <c r="F18" s="123" t="s">
        <v>226</v>
      </c>
      <c r="G18" s="121" t="s">
        <v>59</v>
      </c>
      <c r="H18" s="121" t="s">
        <v>60</v>
      </c>
      <c r="I18" s="121" t="s">
        <v>229</v>
      </c>
      <c r="J18" s="121" t="s">
        <v>231</v>
      </c>
    </row>
    <row r="19" ht="22.5" customHeight="1">
      <c r="A19" s="119">
        <v>46140.30544707176</v>
      </c>
      <c r="B19" s="121" t="s">
        <v>232</v>
      </c>
      <c r="C19" s="121" t="s">
        <v>233</v>
      </c>
      <c r="D19" s="122" t="s">
        <v>235</v>
      </c>
      <c r="E19" s="121" t="s">
        <v>236</v>
      </c>
      <c r="F19" s="123" t="s">
        <v>237</v>
      </c>
      <c r="G19" s="121" t="s">
        <v>90</v>
      </c>
      <c r="H19" s="121" t="s">
        <v>240</v>
      </c>
      <c r="I19" s="121" t="s">
        <v>241</v>
      </c>
      <c r="K19" s="121" t="s">
        <v>243</v>
      </c>
      <c r="L19" s="124"/>
      <c r="M19" s="124"/>
    </row>
    <row r="20" ht="22.5" customHeight="1">
      <c r="A20" s="119">
        <v>46142.87796834491</v>
      </c>
      <c r="B20" s="121" t="s">
        <v>246</v>
      </c>
      <c r="C20" s="121" t="s">
        <v>248</v>
      </c>
      <c r="D20" s="122" t="s">
        <v>249</v>
      </c>
      <c r="E20" s="121" t="s">
        <v>250</v>
      </c>
      <c r="F20" s="121" t="s">
        <v>251</v>
      </c>
      <c r="G20" s="121" t="s">
        <v>59</v>
      </c>
      <c r="H20" s="121" t="s">
        <v>60</v>
      </c>
      <c r="I20" s="121" t="s">
        <v>252</v>
      </c>
      <c r="J20" s="121" t="s">
        <v>254</v>
      </c>
      <c r="K20" s="121" t="s">
        <v>256</v>
      </c>
      <c r="L20" s="124"/>
      <c r="M20" s="124"/>
    </row>
    <row r="21" ht="22.5" customHeight="1">
      <c r="A21" s="119">
        <v>46143.74496869213</v>
      </c>
      <c r="B21" s="121" t="s">
        <v>258</v>
      </c>
      <c r="C21" s="121" t="s">
        <v>259</v>
      </c>
      <c r="D21" s="122" t="s">
        <v>260</v>
      </c>
      <c r="E21" s="121" t="s">
        <v>261</v>
      </c>
      <c r="F21" s="123" t="s">
        <v>263</v>
      </c>
      <c r="G21" s="121" t="s">
        <v>90</v>
      </c>
      <c r="H21" s="121" t="s">
        <v>60</v>
      </c>
      <c r="I21" s="121" t="s">
        <v>271</v>
      </c>
      <c r="J21" s="121" t="s">
        <v>272</v>
      </c>
      <c r="K21" s="121" t="s">
        <v>273</v>
      </c>
      <c r="L21" s="124"/>
      <c r="M21" s="124"/>
    </row>
    <row r="22" ht="22.5" customHeight="1">
      <c r="A22" s="119">
        <v>46145.98793944444</v>
      </c>
      <c r="B22" s="121" t="s">
        <v>277</v>
      </c>
      <c r="C22" s="121" t="s">
        <v>278</v>
      </c>
      <c r="D22" s="122" t="s">
        <v>279</v>
      </c>
      <c r="E22" s="121" t="s">
        <v>280</v>
      </c>
      <c r="F22" s="123" t="s">
        <v>281</v>
      </c>
      <c r="G22" s="121" t="s">
        <v>59</v>
      </c>
      <c r="H22" s="121" t="s">
        <v>60</v>
      </c>
      <c r="I22" s="121" t="s">
        <v>285</v>
      </c>
      <c r="J22" s="121" t="s">
        <v>286</v>
      </c>
      <c r="K22" s="121" t="s">
        <v>287</v>
      </c>
      <c r="L22" s="124"/>
      <c r="M22" s="124"/>
    </row>
    <row r="23" ht="22.5" customHeight="1">
      <c r="A23" s="119">
        <v>46150.256499282405</v>
      </c>
      <c r="B23" s="121" t="s">
        <v>289</v>
      </c>
      <c r="C23" s="121" t="s">
        <v>290</v>
      </c>
      <c r="D23" s="122" t="s">
        <v>291</v>
      </c>
      <c r="E23" s="121" t="s">
        <v>292</v>
      </c>
      <c r="F23" s="123" t="s">
        <v>293</v>
      </c>
      <c r="G23" s="121" t="s">
        <v>90</v>
      </c>
      <c r="H23" s="121" t="s">
        <v>60</v>
      </c>
      <c r="I23" s="121" t="s">
        <v>295</v>
      </c>
    </row>
    <row r="24" ht="22.5" customHeight="1">
      <c r="A24" s="119">
        <v>46151.31925672454</v>
      </c>
      <c r="B24" s="121" t="s">
        <v>97</v>
      </c>
      <c r="C24" s="121" t="s">
        <v>126</v>
      </c>
      <c r="D24" s="122" t="s">
        <v>117</v>
      </c>
      <c r="E24" s="121" t="s">
        <v>119</v>
      </c>
      <c r="F24" s="121" t="s">
        <v>125</v>
      </c>
      <c r="G24" s="121" t="s">
        <v>59</v>
      </c>
      <c r="H24" s="121" t="s">
        <v>60</v>
      </c>
      <c r="I24" s="121" t="s">
        <v>298</v>
      </c>
      <c r="K24" s="121" t="s">
        <v>299</v>
      </c>
      <c r="L24" s="124"/>
      <c r="M24" s="124"/>
    </row>
    <row r="25" ht="22.5" customHeight="1">
      <c r="A25" s="119">
        <v>46152.79531678241</v>
      </c>
      <c r="B25" s="121" t="s">
        <v>65</v>
      </c>
      <c r="C25" s="121" t="s">
        <v>78</v>
      </c>
      <c r="D25" s="122" t="s">
        <v>66</v>
      </c>
      <c r="E25" s="121" t="s">
        <v>67</v>
      </c>
      <c r="F25" s="123" t="s">
        <v>74</v>
      </c>
      <c r="G25" s="121" t="s">
        <v>59</v>
      </c>
      <c r="H25" s="121" t="s">
        <v>60</v>
      </c>
      <c r="I25" s="121" t="s">
        <v>306</v>
      </c>
    </row>
    <row r="26" ht="22.5" customHeight="1">
      <c r="A26" s="119">
        <v>46152.904216724535</v>
      </c>
      <c r="B26" s="121" t="s">
        <v>108</v>
      </c>
      <c r="C26" s="121" t="s">
        <v>143</v>
      </c>
      <c r="D26" s="122" t="s">
        <v>130</v>
      </c>
      <c r="E26" s="121" t="s">
        <v>131</v>
      </c>
      <c r="F26" s="123" t="s">
        <v>138</v>
      </c>
      <c r="G26" s="121" t="s">
        <v>216</v>
      </c>
      <c r="H26" s="121" t="s">
        <v>60</v>
      </c>
      <c r="I26" s="121" t="s">
        <v>310</v>
      </c>
    </row>
    <row r="27" ht="22.5" customHeight="1">
      <c r="A27" s="119">
        <v>46152.90630782407</v>
      </c>
      <c r="B27" s="121" t="s">
        <v>113</v>
      </c>
      <c r="C27" s="121" t="s">
        <v>158</v>
      </c>
      <c r="D27" s="122" t="s">
        <v>148</v>
      </c>
      <c r="E27" s="121" t="s">
        <v>149</v>
      </c>
      <c r="F27" s="123" t="s">
        <v>138</v>
      </c>
      <c r="G27" s="121" t="s">
        <v>59</v>
      </c>
      <c r="H27" s="121" t="s">
        <v>195</v>
      </c>
      <c r="I27" s="121" t="s">
        <v>310</v>
      </c>
    </row>
    <row r="28" ht="22.5" customHeight="1">
      <c r="A28" s="119">
        <v>46161.408096238425</v>
      </c>
      <c r="B28" s="121" t="s">
        <v>118</v>
      </c>
      <c r="C28" s="121" t="s">
        <v>313</v>
      </c>
      <c r="D28" s="122" t="s">
        <v>314</v>
      </c>
      <c r="E28" s="121" t="s">
        <v>315</v>
      </c>
      <c r="F28" s="123" t="s">
        <v>317</v>
      </c>
      <c r="G28" s="121" t="s">
        <v>90</v>
      </c>
      <c r="H28" s="121" t="s">
        <v>60</v>
      </c>
      <c r="I28" s="121" t="s">
        <v>321</v>
      </c>
    </row>
    <row r="29" ht="22.5" customHeight="1">
      <c r="A29" s="119">
        <v>46161.47576194444</v>
      </c>
      <c r="B29" s="121" t="s">
        <v>322</v>
      </c>
      <c r="C29" s="121" t="s">
        <v>323</v>
      </c>
      <c r="D29" s="122" t="s">
        <v>325</v>
      </c>
      <c r="E29" s="121" t="s">
        <v>326</v>
      </c>
      <c r="F29" s="123" t="s">
        <v>327</v>
      </c>
      <c r="G29" s="121" t="s">
        <v>59</v>
      </c>
      <c r="H29" s="121" t="s">
        <v>195</v>
      </c>
      <c r="I29" s="121" t="s">
        <v>331</v>
      </c>
    </row>
    <row r="30" ht="22.5" customHeight="1">
      <c r="A30" s="119">
        <v>46164.45643003473</v>
      </c>
      <c r="B30" s="121" t="s">
        <v>333</v>
      </c>
      <c r="C30" s="121" t="s">
        <v>335</v>
      </c>
      <c r="D30" s="122" t="s">
        <v>337</v>
      </c>
      <c r="E30" s="121" t="s">
        <v>339</v>
      </c>
      <c r="F30" s="123" t="s">
        <v>340</v>
      </c>
      <c r="G30" s="121" t="s">
        <v>59</v>
      </c>
      <c r="H30" s="121" t="s">
        <v>60</v>
      </c>
      <c r="I30" s="121" t="s">
        <v>344</v>
      </c>
    </row>
    <row r="31" ht="22.5" customHeight="1">
      <c r="A31" s="119">
        <v>46164.6655549537</v>
      </c>
      <c r="B31" s="121" t="s">
        <v>124</v>
      </c>
      <c r="C31" s="121" t="s">
        <v>346</v>
      </c>
      <c r="D31" s="122" t="s">
        <v>347</v>
      </c>
      <c r="E31" s="121" t="s">
        <v>348</v>
      </c>
      <c r="F31" s="123" t="s">
        <v>349</v>
      </c>
      <c r="G31" s="121" t="s">
        <v>59</v>
      </c>
      <c r="H31" s="121" t="s">
        <v>352</v>
      </c>
      <c r="I31" s="121" t="s">
        <v>353</v>
      </c>
    </row>
    <row r="32" ht="22.5" customHeight="1">
      <c r="A32" s="119">
        <v>46173.35199412037</v>
      </c>
      <c r="B32" s="121" t="s">
        <v>354</v>
      </c>
      <c r="C32" s="121" t="s">
        <v>355</v>
      </c>
      <c r="D32" s="122" t="s">
        <v>356</v>
      </c>
      <c r="E32" s="121" t="s">
        <v>357</v>
      </c>
      <c r="F32" s="121" t="s">
        <v>358</v>
      </c>
      <c r="G32" s="121" t="s">
        <v>59</v>
      </c>
      <c r="H32" s="121" t="s">
        <v>360</v>
      </c>
      <c r="I32" s="121" t="s">
        <v>361</v>
      </c>
      <c r="J32" s="121" t="s">
        <v>362</v>
      </c>
      <c r="K32" s="121" t="s">
        <v>363</v>
      </c>
      <c r="L32" s="124"/>
      <c r="M32" s="124"/>
    </row>
    <row r="33" ht="22.5" customHeight="1">
      <c r="A33" s="119">
        <v>46174.604200671296</v>
      </c>
      <c r="B33" s="121" t="s">
        <v>365</v>
      </c>
      <c r="C33" s="121" t="s">
        <v>366</v>
      </c>
      <c r="D33" s="122" t="s">
        <v>367</v>
      </c>
      <c r="E33" s="121" t="s">
        <v>368</v>
      </c>
      <c r="F33" s="123" t="s">
        <v>369</v>
      </c>
      <c r="G33" s="121" t="s">
        <v>59</v>
      </c>
      <c r="H33" s="121" t="s">
        <v>60</v>
      </c>
      <c r="I33" s="121" t="s">
        <v>370</v>
      </c>
      <c r="J33" s="121" t="s">
        <v>371</v>
      </c>
    </row>
    <row r="34" ht="22.5" customHeight="1">
      <c r="A34" s="119">
        <v>46182.534555081016</v>
      </c>
      <c r="B34" s="121" t="s">
        <v>129</v>
      </c>
      <c r="C34" s="121" t="s">
        <v>175</v>
      </c>
      <c r="D34" s="122" t="s">
        <v>162</v>
      </c>
      <c r="E34" s="121" t="s">
        <v>164</v>
      </c>
      <c r="F34" s="123" t="s">
        <v>169</v>
      </c>
      <c r="G34" s="121" t="s">
        <v>59</v>
      </c>
      <c r="H34" s="121" t="s">
        <v>60</v>
      </c>
      <c r="I34" s="121" t="s">
        <v>375</v>
      </c>
      <c r="J34" s="121" t="s">
        <v>376</v>
      </c>
      <c r="K34" s="121" t="s">
        <v>377</v>
      </c>
      <c r="L34" s="121" t="s">
        <v>378</v>
      </c>
      <c r="M34" s="124"/>
    </row>
    <row r="35" ht="22.5" customHeight="1">
      <c r="A35" s="119">
        <v>46183.58839482639</v>
      </c>
      <c r="B35" s="121" t="s">
        <v>379</v>
      </c>
      <c r="C35" s="121" t="s">
        <v>380</v>
      </c>
      <c r="D35" s="122" t="s">
        <v>381</v>
      </c>
      <c r="E35" s="121" t="s">
        <v>382</v>
      </c>
      <c r="F35" s="123" t="s">
        <v>384</v>
      </c>
      <c r="G35" s="121" t="s">
        <v>59</v>
      </c>
      <c r="H35" s="121" t="s">
        <v>60</v>
      </c>
      <c r="I35" s="121" t="s">
        <v>386</v>
      </c>
      <c r="J35" s="121" t="s">
        <v>64</v>
      </c>
      <c r="K35" s="121" t="s">
        <v>64</v>
      </c>
      <c r="L35" s="121" t="s">
        <v>388</v>
      </c>
      <c r="M35" s="124"/>
    </row>
    <row r="36" ht="22.5" customHeight="1">
      <c r="A36" s="119">
        <v>46189.56046504629</v>
      </c>
      <c r="B36" s="121" t="s">
        <v>389</v>
      </c>
      <c r="C36" s="121" t="s">
        <v>366</v>
      </c>
      <c r="D36" s="122" t="s">
        <v>367</v>
      </c>
      <c r="E36" s="121" t="s">
        <v>390</v>
      </c>
      <c r="F36" s="123" t="s">
        <v>392</v>
      </c>
      <c r="G36" s="121" t="s">
        <v>59</v>
      </c>
      <c r="H36" s="121" t="s">
        <v>60</v>
      </c>
      <c r="I36" s="121" t="s">
        <v>394</v>
      </c>
      <c r="J36" s="121" t="s">
        <v>395</v>
      </c>
      <c r="K36" s="121" t="s">
        <v>396</v>
      </c>
      <c r="L36" s="121" t="s">
        <v>397</v>
      </c>
      <c r="M36" s="122" t="s">
        <v>398</v>
      </c>
    </row>
    <row r="37" ht="22.5" customHeight="1">
      <c r="A37" s="119">
        <v>46193.460718692135</v>
      </c>
      <c r="B37" s="121" t="s">
        <v>399</v>
      </c>
      <c r="C37" s="121" t="s">
        <v>400</v>
      </c>
      <c r="D37" s="122" t="s">
        <v>401</v>
      </c>
      <c r="E37" s="121" t="s">
        <v>402</v>
      </c>
      <c r="F37" s="123" t="s">
        <v>403</v>
      </c>
      <c r="G37" s="121" t="s">
        <v>59</v>
      </c>
      <c r="H37" s="121" t="s">
        <v>60</v>
      </c>
      <c r="I37" s="121" t="s">
        <v>405</v>
      </c>
      <c r="K37" s="121" t="s">
        <v>406</v>
      </c>
      <c r="L37" s="121" t="s">
        <v>388</v>
      </c>
      <c r="M37" s="122" t="s">
        <v>407</v>
      </c>
    </row>
    <row r="38" ht="22.5" customHeight="1">
      <c r="A38" s="119">
        <v>46197.6907588426</v>
      </c>
      <c r="B38" s="121" t="s">
        <v>409</v>
      </c>
      <c r="C38" s="121" t="s">
        <v>410</v>
      </c>
      <c r="D38" s="122" t="s">
        <v>411</v>
      </c>
      <c r="E38" s="121" t="s">
        <v>412</v>
      </c>
      <c r="F38" s="123" t="s">
        <v>413</v>
      </c>
      <c r="G38" s="121" t="s">
        <v>216</v>
      </c>
      <c r="H38" s="121" t="s">
        <v>60</v>
      </c>
      <c r="I38" s="121" t="s">
        <v>414</v>
      </c>
      <c r="J38" s="121" t="s">
        <v>415</v>
      </c>
      <c r="K38" s="121" t="s">
        <v>416</v>
      </c>
      <c r="L38" s="121" t="s">
        <v>378</v>
      </c>
      <c r="M38" s="122" t="s">
        <v>417</v>
      </c>
    </row>
    <row r="39" ht="22.5" customHeight="1">
      <c r="A39" s="119">
        <v>46199.73586357639</v>
      </c>
      <c r="B39" s="121" t="s">
        <v>418</v>
      </c>
      <c r="C39" s="121" t="s">
        <v>419</v>
      </c>
      <c r="D39" s="122" t="s">
        <v>420</v>
      </c>
      <c r="E39" s="121" t="s">
        <v>421</v>
      </c>
      <c r="F39" s="123" t="s">
        <v>422</v>
      </c>
      <c r="G39" s="121" t="s">
        <v>216</v>
      </c>
      <c r="H39" s="121" t="s">
        <v>60</v>
      </c>
      <c r="I39" s="121" t="s">
        <v>423</v>
      </c>
      <c r="K39" s="121" t="s">
        <v>64</v>
      </c>
      <c r="L39" s="121" t="s">
        <v>397</v>
      </c>
      <c r="M39" s="122" t="s">
        <v>398</v>
      </c>
    </row>
    <row r="40" ht="22.5" customHeight="1">
      <c r="A40" s="119">
        <v>46202.13608024306</v>
      </c>
      <c r="B40" s="121" t="s">
        <v>424</v>
      </c>
      <c r="C40" s="121" t="s">
        <v>425</v>
      </c>
      <c r="D40" s="122" t="s">
        <v>426</v>
      </c>
      <c r="E40" s="121" t="s">
        <v>427</v>
      </c>
      <c r="F40" s="123" t="s">
        <v>428</v>
      </c>
      <c r="G40" s="121" t="s">
        <v>59</v>
      </c>
      <c r="H40" s="121" t="s">
        <v>60</v>
      </c>
      <c r="I40" s="121" t="s">
        <v>429</v>
      </c>
      <c r="K40" s="121" t="s">
        <v>430</v>
      </c>
      <c r="L40" s="121" t="s">
        <v>431</v>
      </c>
      <c r="M40" s="121">
        <v>12.0</v>
      </c>
    </row>
    <row r="41" ht="22.5" customHeight="1">
      <c r="A41" s="119">
        <v>46202.72903347222</v>
      </c>
      <c r="B41" s="121" t="s">
        <v>432</v>
      </c>
      <c r="C41" s="121" t="s">
        <v>433</v>
      </c>
      <c r="D41" s="122" t="s">
        <v>434</v>
      </c>
      <c r="E41" s="121" t="s">
        <v>435</v>
      </c>
      <c r="F41" s="121" t="s">
        <v>436</v>
      </c>
      <c r="G41" s="121" t="s">
        <v>90</v>
      </c>
      <c r="H41" s="121" t="s">
        <v>60</v>
      </c>
      <c r="I41" s="121" t="s">
        <v>438</v>
      </c>
      <c r="J41" s="121" t="s">
        <v>439</v>
      </c>
      <c r="K41" s="121" t="s">
        <v>440</v>
      </c>
      <c r="L41" s="121" t="s">
        <v>397</v>
      </c>
      <c r="M41" s="122" t="s">
        <v>417</v>
      </c>
    </row>
    <row r="42" ht="22.5" customHeight="1">
      <c r="A42" s="119">
        <v>46202.894138993055</v>
      </c>
      <c r="B42" s="121" t="s">
        <v>136</v>
      </c>
      <c r="C42" s="121" t="s">
        <v>441</v>
      </c>
      <c r="D42" s="122" t="s">
        <v>442</v>
      </c>
      <c r="E42" s="121" t="s">
        <v>443</v>
      </c>
      <c r="F42" s="123" t="s">
        <v>444</v>
      </c>
      <c r="G42" s="121" t="s">
        <v>90</v>
      </c>
      <c r="H42" s="121" t="s">
        <v>60</v>
      </c>
      <c r="I42" s="121" t="s">
        <v>445</v>
      </c>
      <c r="K42" s="121" t="s">
        <v>446</v>
      </c>
      <c r="L42" s="121" t="s">
        <v>378</v>
      </c>
      <c r="M42" s="122" t="s">
        <v>407</v>
      </c>
    </row>
    <row r="43" ht="22.5" customHeight="1">
      <c r="A43" s="119">
        <v>46203.344548078705</v>
      </c>
      <c r="B43" s="121" t="s">
        <v>448</v>
      </c>
      <c r="C43" s="121" t="s">
        <v>449</v>
      </c>
      <c r="D43" s="122" t="s">
        <v>450</v>
      </c>
      <c r="E43" s="121" t="s">
        <v>451</v>
      </c>
      <c r="F43" s="121" t="s">
        <v>451</v>
      </c>
      <c r="G43" s="121" t="s">
        <v>59</v>
      </c>
      <c r="H43" s="121" t="s">
        <v>60</v>
      </c>
      <c r="I43" s="121" t="s">
        <v>452</v>
      </c>
      <c r="K43" s="121" t="s">
        <v>453</v>
      </c>
      <c r="L43" s="121" t="s">
        <v>378</v>
      </c>
      <c r="M43" s="122" t="s">
        <v>407</v>
      </c>
    </row>
    <row r="44" ht="22.5" customHeight="1">
      <c r="A44" s="119">
        <v>46204.63981969908</v>
      </c>
      <c r="B44" s="121" t="s">
        <v>140</v>
      </c>
      <c r="C44" s="121" t="s">
        <v>454</v>
      </c>
      <c r="D44" s="122" t="s">
        <v>455</v>
      </c>
      <c r="E44" s="121" t="s">
        <v>456</v>
      </c>
      <c r="F44" s="123" t="s">
        <v>457</v>
      </c>
      <c r="G44" s="121" t="s">
        <v>59</v>
      </c>
      <c r="H44" s="121" t="s">
        <v>60</v>
      </c>
      <c r="I44" s="121" t="s">
        <v>458</v>
      </c>
      <c r="J44" s="121" t="s">
        <v>459</v>
      </c>
      <c r="K44" s="121" t="s">
        <v>460</v>
      </c>
      <c r="L44" s="121" t="s">
        <v>461</v>
      </c>
      <c r="M44" s="122" t="s">
        <v>417</v>
      </c>
    </row>
    <row r="45" ht="22.5" customHeight="1">
      <c r="A45" s="119">
        <v>46210.82194045139</v>
      </c>
      <c r="B45" s="121" t="s">
        <v>462</v>
      </c>
      <c r="C45" s="121" t="s">
        <v>463</v>
      </c>
      <c r="D45" s="122" t="s">
        <v>464</v>
      </c>
      <c r="E45" s="121" t="s">
        <v>465</v>
      </c>
      <c r="F45" s="123" t="s">
        <v>466</v>
      </c>
      <c r="G45" s="121" t="s">
        <v>90</v>
      </c>
      <c r="H45" s="121" t="s">
        <v>60</v>
      </c>
      <c r="I45" s="121" t="s">
        <v>467</v>
      </c>
      <c r="K45" s="121" t="s">
        <v>468</v>
      </c>
      <c r="L45" s="121" t="s">
        <v>388</v>
      </c>
      <c r="M45" s="122" t="s">
        <v>407</v>
      </c>
    </row>
    <row r="46" ht="22.5" customHeight="1">
      <c r="A46" s="119">
        <v>46215.70990631945</v>
      </c>
      <c r="B46" s="121" t="s">
        <v>147</v>
      </c>
      <c r="C46" s="121" t="s">
        <v>202</v>
      </c>
      <c r="D46" s="122" t="s">
        <v>186</v>
      </c>
      <c r="E46" s="121" t="s">
        <v>187</v>
      </c>
      <c r="F46" s="123" t="s">
        <v>197</v>
      </c>
      <c r="G46" s="121" t="s">
        <v>59</v>
      </c>
      <c r="H46" s="121" t="s">
        <v>469</v>
      </c>
      <c r="I46" s="121" t="s">
        <v>471</v>
      </c>
      <c r="J46" s="121" t="s">
        <v>64</v>
      </c>
      <c r="K46" s="121" t="s">
        <v>64</v>
      </c>
      <c r="L46" s="121" t="s">
        <v>473</v>
      </c>
      <c r="M46" s="122" t="s">
        <v>417</v>
      </c>
    </row>
    <row r="47" ht="22.5" customHeight="1">
      <c r="A47" s="119">
        <v>46218.52109621528</v>
      </c>
      <c r="B47" s="121" t="s">
        <v>474</v>
      </c>
      <c r="C47" s="121" t="s">
        <v>475</v>
      </c>
      <c r="D47" s="122" t="s">
        <v>477</v>
      </c>
      <c r="E47" s="121" t="s">
        <v>478</v>
      </c>
      <c r="F47" s="123" t="s">
        <v>479</v>
      </c>
      <c r="G47" s="121" t="s">
        <v>59</v>
      </c>
      <c r="H47" s="121" t="s">
        <v>60</v>
      </c>
      <c r="I47" s="121" t="s">
        <v>64</v>
      </c>
      <c r="J47" s="121" t="s">
        <v>64</v>
      </c>
      <c r="K47" s="121" t="s">
        <v>64</v>
      </c>
      <c r="L47" s="121" t="s">
        <v>397</v>
      </c>
      <c r="M47" s="122" t="s">
        <v>407</v>
      </c>
    </row>
    <row r="48" ht="22.5" customHeight="1">
      <c r="A48" s="119">
        <v>46219.7322859375</v>
      </c>
      <c r="B48" s="121" t="s">
        <v>484</v>
      </c>
      <c r="C48" s="121" t="s">
        <v>485</v>
      </c>
      <c r="D48" s="122" t="s">
        <v>83</v>
      </c>
      <c r="E48" s="121" t="s">
        <v>86</v>
      </c>
      <c r="F48" s="123" t="s">
        <v>94</v>
      </c>
      <c r="G48" s="121" t="s">
        <v>59</v>
      </c>
      <c r="H48" s="121" t="s">
        <v>60</v>
      </c>
      <c r="I48" s="121" t="s">
        <v>487</v>
      </c>
      <c r="K48" s="121" t="s">
        <v>489</v>
      </c>
      <c r="L48" s="121" t="s">
        <v>490</v>
      </c>
      <c r="M48" s="122" t="s">
        <v>407</v>
      </c>
    </row>
    <row r="49" ht="22.5" customHeight="1">
      <c r="A49" s="119">
        <v>46222.90017502315</v>
      </c>
      <c r="B49" s="121" t="s">
        <v>491</v>
      </c>
      <c r="C49" s="121" t="s">
        <v>492</v>
      </c>
      <c r="D49" s="122" t="s">
        <v>493</v>
      </c>
      <c r="E49" s="121" t="s">
        <v>495</v>
      </c>
      <c r="F49" s="123" t="s">
        <v>497</v>
      </c>
      <c r="G49" s="121" t="s">
        <v>216</v>
      </c>
      <c r="H49" s="121" t="s">
        <v>60</v>
      </c>
      <c r="I49" s="121" t="s">
        <v>498</v>
      </c>
      <c r="K49" s="121" t="s">
        <v>499</v>
      </c>
      <c r="L49" s="121" t="s">
        <v>378</v>
      </c>
      <c r="M49" s="122" t="s">
        <v>417</v>
      </c>
    </row>
    <row r="50" ht="22.5" customHeight="1">
      <c r="A50" s="119">
        <v>46223.0175736574</v>
      </c>
      <c r="B50" s="121" t="s">
        <v>501</v>
      </c>
      <c r="C50" s="121" t="s">
        <v>503</v>
      </c>
      <c r="D50" s="122" t="s">
        <v>504</v>
      </c>
      <c r="E50" s="121" t="s">
        <v>505</v>
      </c>
      <c r="F50" s="123" t="s">
        <v>506</v>
      </c>
      <c r="G50" s="121" t="s">
        <v>90</v>
      </c>
      <c r="H50" s="121" t="s">
        <v>60</v>
      </c>
      <c r="I50" s="121" t="s">
        <v>509</v>
      </c>
      <c r="K50" s="121" t="s">
        <v>510</v>
      </c>
      <c r="L50" s="121" t="s">
        <v>490</v>
      </c>
      <c r="M50" s="122" t="s">
        <v>398</v>
      </c>
    </row>
    <row r="51" ht="22.5" customHeight="1">
      <c r="A51" s="119">
        <v>46224.37152755787</v>
      </c>
      <c r="B51" s="121" t="s">
        <v>511</v>
      </c>
      <c r="C51" s="121" t="s">
        <v>512</v>
      </c>
      <c r="D51" s="122" t="s">
        <v>513</v>
      </c>
      <c r="E51" s="121" t="s">
        <v>515</v>
      </c>
      <c r="F51" s="123" t="s">
        <v>516</v>
      </c>
      <c r="G51" s="121" t="s">
        <v>90</v>
      </c>
      <c r="H51" s="121" t="s">
        <v>60</v>
      </c>
      <c r="I51" s="121" t="s">
        <v>517</v>
      </c>
      <c r="K51" s="121" t="s">
        <v>64</v>
      </c>
      <c r="L51" s="121" t="s">
        <v>518</v>
      </c>
      <c r="M51" s="122" t="s">
        <v>519</v>
      </c>
    </row>
    <row r="52" ht="22.5" customHeight="1">
      <c r="A52" s="119">
        <v>46224.584675543985</v>
      </c>
      <c r="B52" s="121" t="s">
        <v>520</v>
      </c>
      <c r="C52" s="121" t="s">
        <v>522</v>
      </c>
      <c r="D52" s="122" t="s">
        <v>523</v>
      </c>
      <c r="E52" s="121" t="s">
        <v>524</v>
      </c>
      <c r="F52" s="123" t="s">
        <v>525</v>
      </c>
      <c r="G52" s="121" t="s">
        <v>59</v>
      </c>
      <c r="H52" s="121" t="s">
        <v>60</v>
      </c>
      <c r="I52" s="121" t="s">
        <v>526</v>
      </c>
      <c r="J52" s="121" t="s">
        <v>64</v>
      </c>
      <c r="K52" s="121" t="s">
        <v>527</v>
      </c>
      <c r="L52" s="121" t="s">
        <v>397</v>
      </c>
      <c r="M52" s="122" t="s">
        <v>398</v>
      </c>
    </row>
    <row r="53" ht="22.5" customHeight="1">
      <c r="A53" s="119">
        <v>46225.58181886574</v>
      </c>
      <c r="B53" s="121" t="s">
        <v>528</v>
      </c>
      <c r="C53" s="121" t="s">
        <v>530</v>
      </c>
      <c r="D53" s="122" t="s">
        <v>531</v>
      </c>
      <c r="E53" s="121" t="s">
        <v>532</v>
      </c>
      <c r="F53" s="121" t="s">
        <v>533</v>
      </c>
      <c r="G53" s="121" t="s">
        <v>90</v>
      </c>
      <c r="H53" s="121" t="s">
        <v>352</v>
      </c>
      <c r="I53" s="121" t="s">
        <v>535</v>
      </c>
      <c r="J53" s="121" t="s">
        <v>536</v>
      </c>
      <c r="K53" s="121" t="s">
        <v>537</v>
      </c>
      <c r="L53" s="121" t="s">
        <v>388</v>
      </c>
      <c r="M53" s="122" t="s">
        <v>417</v>
      </c>
    </row>
    <row r="54" ht="22.5" customHeight="1">
      <c r="A54" s="119">
        <v>46226.59836260417</v>
      </c>
      <c r="B54" s="121" t="s">
        <v>538</v>
      </c>
      <c r="C54" s="121" t="s">
        <v>539</v>
      </c>
      <c r="D54" s="122" t="s">
        <v>540</v>
      </c>
      <c r="E54" s="121" t="s">
        <v>541</v>
      </c>
      <c r="F54" s="121" t="s">
        <v>542</v>
      </c>
      <c r="G54" s="121" t="s">
        <v>59</v>
      </c>
      <c r="H54" s="121" t="s">
        <v>60</v>
      </c>
      <c r="I54" s="121" t="s">
        <v>543</v>
      </c>
      <c r="J54" s="121" t="s">
        <v>64</v>
      </c>
      <c r="K54" s="121" t="s">
        <v>64</v>
      </c>
      <c r="L54" s="121" t="s">
        <v>388</v>
      </c>
      <c r="M54" s="122" t="s">
        <v>417</v>
      </c>
    </row>
    <row r="55" ht="22.5" customHeight="1">
      <c r="A55" s="119">
        <v>46226.68660215278</v>
      </c>
      <c r="B55" s="121" t="s">
        <v>544</v>
      </c>
      <c r="C55" s="121" t="s">
        <v>545</v>
      </c>
      <c r="D55" s="122" t="s">
        <v>546</v>
      </c>
      <c r="E55" s="121" t="s">
        <v>547</v>
      </c>
      <c r="F55" s="123" t="s">
        <v>548</v>
      </c>
      <c r="G55" s="121" t="s">
        <v>90</v>
      </c>
      <c r="H55" s="121" t="s">
        <v>60</v>
      </c>
      <c r="I55" s="121" t="s">
        <v>549</v>
      </c>
      <c r="K55" s="121" t="s">
        <v>550</v>
      </c>
      <c r="L55" s="121" t="s">
        <v>388</v>
      </c>
      <c r="M55" s="122" t="s">
        <v>417</v>
      </c>
    </row>
    <row r="56" ht="22.5" customHeight="1">
      <c r="A56" s="119">
        <v>46226.68668506945</v>
      </c>
      <c r="B56" s="121" t="s">
        <v>544</v>
      </c>
      <c r="C56" s="121" t="s">
        <v>545</v>
      </c>
      <c r="D56" s="122" t="s">
        <v>546</v>
      </c>
      <c r="E56" s="121" t="s">
        <v>547</v>
      </c>
      <c r="F56" s="123" t="s">
        <v>548</v>
      </c>
      <c r="G56" s="121" t="s">
        <v>90</v>
      </c>
      <c r="H56" s="121" t="s">
        <v>60</v>
      </c>
      <c r="I56" s="121" t="s">
        <v>549</v>
      </c>
      <c r="K56" s="121" t="s">
        <v>550</v>
      </c>
      <c r="L56" s="121" t="s">
        <v>388</v>
      </c>
      <c r="M56" s="122" t="s">
        <v>417</v>
      </c>
    </row>
    <row r="57" ht="22.5" customHeight="1">
      <c r="A57" s="119">
        <v>46227.34133002315</v>
      </c>
      <c r="B57" s="121" t="s">
        <v>153</v>
      </c>
      <c r="C57" s="121" t="s">
        <v>551</v>
      </c>
      <c r="D57" s="122" t="s">
        <v>552</v>
      </c>
      <c r="E57" s="121" t="s">
        <v>553</v>
      </c>
      <c r="F57" s="123" t="s">
        <v>554</v>
      </c>
      <c r="G57" s="121" t="s">
        <v>59</v>
      </c>
      <c r="H57" s="121" t="s">
        <v>60</v>
      </c>
      <c r="I57" s="121" t="s">
        <v>555</v>
      </c>
      <c r="K57" s="121" t="s">
        <v>556</v>
      </c>
      <c r="L57" s="121" t="s">
        <v>557</v>
      </c>
      <c r="M57" s="122" t="s">
        <v>398</v>
      </c>
    </row>
    <row r="58" ht="22.5" customHeight="1">
      <c r="A58" s="119">
        <v>46227.35204064815</v>
      </c>
      <c r="B58" s="121" t="s">
        <v>302</v>
      </c>
      <c r="C58" s="121" t="s">
        <v>311</v>
      </c>
      <c r="D58" s="122" t="s">
        <v>304</v>
      </c>
      <c r="E58" s="121" t="s">
        <v>305</v>
      </c>
      <c r="F58" s="123" t="s">
        <v>308</v>
      </c>
      <c r="G58" s="121" t="s">
        <v>216</v>
      </c>
      <c r="H58" s="121" t="s">
        <v>60</v>
      </c>
      <c r="I58" s="121" t="s">
        <v>558</v>
      </c>
      <c r="J58" s="121" t="s">
        <v>559</v>
      </c>
      <c r="K58" s="121" t="s">
        <v>560</v>
      </c>
      <c r="L58" s="121" t="s">
        <v>378</v>
      </c>
      <c r="M58" s="122" t="s">
        <v>407</v>
      </c>
    </row>
    <row r="59" ht="22.5" customHeight="1">
      <c r="A59" s="119">
        <v>46227.36022108796</v>
      </c>
      <c r="B59" s="121" t="s">
        <v>159</v>
      </c>
      <c r="C59" s="121" t="s">
        <v>561</v>
      </c>
      <c r="D59" s="122" t="s">
        <v>562</v>
      </c>
      <c r="E59" s="121" t="s">
        <v>563</v>
      </c>
      <c r="F59" s="123" t="s">
        <v>564</v>
      </c>
      <c r="G59" s="121" t="s">
        <v>59</v>
      </c>
      <c r="H59" s="121" t="s">
        <v>352</v>
      </c>
      <c r="I59" s="121" t="s">
        <v>565</v>
      </c>
      <c r="J59" s="121" t="s">
        <v>566</v>
      </c>
      <c r="K59" s="121" t="s">
        <v>567</v>
      </c>
      <c r="L59" s="121" t="s">
        <v>378</v>
      </c>
      <c r="M59" s="122" t="s">
        <v>519</v>
      </c>
    </row>
    <row r="60" ht="22.5" customHeight="1">
      <c r="A60" s="119">
        <v>46227.48017444444</v>
      </c>
      <c r="B60" s="121" t="s">
        <v>168</v>
      </c>
      <c r="C60" s="121" t="s">
        <v>480</v>
      </c>
      <c r="D60" s="122" t="s">
        <v>470</v>
      </c>
      <c r="E60" s="121" t="s">
        <v>472</v>
      </c>
      <c r="F60" s="123" t="s">
        <v>476</v>
      </c>
      <c r="G60" s="121" t="s">
        <v>59</v>
      </c>
      <c r="H60" s="121" t="s">
        <v>195</v>
      </c>
      <c r="I60" s="121" t="s">
        <v>587</v>
      </c>
      <c r="J60" s="121" t="s">
        <v>588</v>
      </c>
      <c r="K60" s="121" t="s">
        <v>589</v>
      </c>
      <c r="L60" s="121" t="s">
        <v>490</v>
      </c>
      <c r="M60" s="122" t="s">
        <v>417</v>
      </c>
    </row>
    <row r="61" ht="22.5" customHeight="1">
      <c r="A61" s="119">
        <v>46227.60583871527</v>
      </c>
      <c r="B61" s="121" t="s">
        <v>592</v>
      </c>
      <c r="C61" s="121" t="s">
        <v>593</v>
      </c>
      <c r="D61" s="122" t="s">
        <v>594</v>
      </c>
      <c r="E61" s="121" t="s">
        <v>595</v>
      </c>
      <c r="F61" s="121" t="s">
        <v>596</v>
      </c>
      <c r="G61" s="121" t="s">
        <v>90</v>
      </c>
      <c r="H61" s="121" t="s">
        <v>598</v>
      </c>
      <c r="I61" s="121" t="s">
        <v>599</v>
      </c>
      <c r="K61" s="121" t="s">
        <v>600</v>
      </c>
      <c r="L61" s="121" t="s">
        <v>431</v>
      </c>
      <c r="M61" s="122" t="s">
        <v>417</v>
      </c>
    </row>
    <row r="62" ht="22.5" customHeight="1">
      <c r="A62" s="119">
        <v>46227.67434520833</v>
      </c>
      <c r="B62" s="121" t="s">
        <v>602</v>
      </c>
      <c r="C62" s="121" t="s">
        <v>603</v>
      </c>
      <c r="D62" s="122" t="s">
        <v>604</v>
      </c>
      <c r="E62" s="121" t="s">
        <v>605</v>
      </c>
      <c r="F62" s="121" t="s">
        <v>607</v>
      </c>
      <c r="G62" s="121" t="s">
        <v>90</v>
      </c>
      <c r="H62" s="121" t="s">
        <v>60</v>
      </c>
      <c r="I62" s="121" t="s">
        <v>608</v>
      </c>
      <c r="K62" s="121" t="s">
        <v>609</v>
      </c>
      <c r="L62" s="121" t="s">
        <v>388</v>
      </c>
      <c r="M62" s="122" t="s">
        <v>407</v>
      </c>
    </row>
    <row r="63" ht="22.5" customHeight="1">
      <c r="A63" s="119">
        <v>46227.731341736115</v>
      </c>
      <c r="B63" s="121" t="s">
        <v>171</v>
      </c>
      <c r="C63" s="121" t="s">
        <v>571</v>
      </c>
      <c r="D63" s="122" t="s">
        <v>568</v>
      </c>
      <c r="E63" s="121" t="s">
        <v>569</v>
      </c>
      <c r="F63" s="123" t="s">
        <v>570</v>
      </c>
      <c r="G63" s="121" t="s">
        <v>59</v>
      </c>
      <c r="H63" s="121" t="s">
        <v>612</v>
      </c>
      <c r="I63" s="121" t="s">
        <v>613</v>
      </c>
      <c r="K63" s="121" t="s">
        <v>614</v>
      </c>
      <c r="L63" s="121" t="s">
        <v>378</v>
      </c>
      <c r="M63" s="122" t="s">
        <v>417</v>
      </c>
    </row>
    <row r="64" ht="22.5" customHeight="1">
      <c r="A64" s="119">
        <v>46227.86223704861</v>
      </c>
      <c r="B64" s="121" t="s">
        <v>616</v>
      </c>
      <c r="C64" s="121" t="s">
        <v>617</v>
      </c>
      <c r="D64" s="122" t="s">
        <v>618</v>
      </c>
      <c r="E64" s="121" t="s">
        <v>619</v>
      </c>
      <c r="F64" s="123" t="s">
        <v>620</v>
      </c>
      <c r="G64" s="121" t="s">
        <v>59</v>
      </c>
      <c r="H64" s="121" t="s">
        <v>60</v>
      </c>
      <c r="I64" s="121" t="s">
        <v>621</v>
      </c>
      <c r="J64" s="121" t="s">
        <v>623</v>
      </c>
      <c r="K64" s="121" t="s">
        <v>625</v>
      </c>
      <c r="L64" s="121" t="s">
        <v>490</v>
      </c>
      <c r="M64" s="122" t="s">
        <v>407</v>
      </c>
    </row>
    <row r="65" ht="22.5" customHeight="1">
      <c r="A65" s="119">
        <v>46227.979596805555</v>
      </c>
      <c r="B65" s="121" t="s">
        <v>626</v>
      </c>
      <c r="C65" s="121" t="s">
        <v>627</v>
      </c>
      <c r="D65" s="122" t="s">
        <v>628</v>
      </c>
      <c r="E65" s="121" t="s">
        <v>629</v>
      </c>
      <c r="F65" s="123" t="s">
        <v>630</v>
      </c>
      <c r="G65" s="121" t="s">
        <v>59</v>
      </c>
      <c r="H65" s="121" t="s">
        <v>60</v>
      </c>
      <c r="I65" s="121" t="s">
        <v>631</v>
      </c>
      <c r="J65" s="121" t="s">
        <v>632</v>
      </c>
      <c r="K65" s="121" t="s">
        <v>633</v>
      </c>
      <c r="L65" s="121" t="s">
        <v>431</v>
      </c>
      <c r="M65" s="122" t="s">
        <v>417</v>
      </c>
    </row>
    <row r="66" ht="22.5" customHeight="1">
      <c r="A66" s="119">
        <v>46228.429224259264</v>
      </c>
      <c r="B66" s="121" t="s">
        <v>636</v>
      </c>
      <c r="C66" s="121" t="s">
        <v>637</v>
      </c>
      <c r="D66" s="122" t="s">
        <v>638</v>
      </c>
      <c r="E66" s="121" t="s">
        <v>639</v>
      </c>
      <c r="F66" s="123" t="s">
        <v>640</v>
      </c>
      <c r="G66" s="121" t="s">
        <v>59</v>
      </c>
      <c r="H66" s="121" t="s">
        <v>352</v>
      </c>
      <c r="I66" s="121" t="s">
        <v>642</v>
      </c>
      <c r="J66" s="121" t="s">
        <v>643</v>
      </c>
      <c r="K66" s="121" t="s">
        <v>644</v>
      </c>
      <c r="L66" s="121" t="s">
        <v>378</v>
      </c>
      <c r="M66" s="122" t="s">
        <v>398</v>
      </c>
    </row>
    <row r="67" ht="22.5" customHeight="1">
      <c r="A67" s="119">
        <v>46228.51815185185</v>
      </c>
      <c r="B67" s="121" t="s">
        <v>646</v>
      </c>
      <c r="C67" s="121" t="s">
        <v>647</v>
      </c>
      <c r="D67" s="122" t="s">
        <v>648</v>
      </c>
      <c r="E67" s="121" t="s">
        <v>650</v>
      </c>
      <c r="F67" s="123" t="s">
        <v>652</v>
      </c>
      <c r="G67" s="121" t="s">
        <v>90</v>
      </c>
      <c r="H67" s="121" t="s">
        <v>360</v>
      </c>
      <c r="I67" s="121" t="s">
        <v>653</v>
      </c>
      <c r="K67" s="121" t="s">
        <v>654</v>
      </c>
      <c r="L67" s="121" t="s">
        <v>557</v>
      </c>
      <c r="M67" s="122" t="s">
        <v>417</v>
      </c>
    </row>
    <row r="68" ht="22.5" customHeight="1">
      <c r="A68" s="119">
        <v>46228.8247508912</v>
      </c>
      <c r="B68" s="121" t="s">
        <v>178</v>
      </c>
      <c r="C68" s="121" t="s">
        <v>217</v>
      </c>
      <c r="D68" s="122" t="s">
        <v>206</v>
      </c>
      <c r="E68" s="121" t="s">
        <v>207</v>
      </c>
      <c r="F68" s="123" t="s">
        <v>213</v>
      </c>
      <c r="G68" s="121" t="s">
        <v>90</v>
      </c>
      <c r="H68" s="121" t="s">
        <v>60</v>
      </c>
      <c r="I68" s="121" t="s">
        <v>658</v>
      </c>
      <c r="K68" s="121" t="s">
        <v>600</v>
      </c>
      <c r="L68" s="121" t="s">
        <v>378</v>
      </c>
      <c r="M68" s="122" t="s">
        <v>407</v>
      </c>
    </row>
    <row r="69" ht="22.5" customHeight="1">
      <c r="A69" s="119">
        <v>46228.883571956016</v>
      </c>
      <c r="B69" s="121" t="s">
        <v>659</v>
      </c>
      <c r="C69" s="121" t="s">
        <v>661</v>
      </c>
      <c r="D69" s="122" t="s">
        <v>662</v>
      </c>
      <c r="E69" s="121" t="s">
        <v>663</v>
      </c>
      <c r="F69" s="123" t="s">
        <v>664</v>
      </c>
      <c r="G69" s="121" t="s">
        <v>59</v>
      </c>
      <c r="H69" s="121" t="s">
        <v>360</v>
      </c>
      <c r="I69" s="121" t="s">
        <v>667</v>
      </c>
      <c r="K69" s="121" t="s">
        <v>669</v>
      </c>
      <c r="L69" s="121" t="s">
        <v>397</v>
      </c>
      <c r="M69" s="122" t="s">
        <v>519</v>
      </c>
    </row>
    <row r="70" ht="22.5" customHeight="1">
      <c r="A70" s="119">
        <v>46228.88620405093</v>
      </c>
      <c r="B70" s="121" t="s">
        <v>671</v>
      </c>
      <c r="C70" s="121" t="s">
        <v>672</v>
      </c>
      <c r="D70" s="122" t="s">
        <v>673</v>
      </c>
      <c r="E70" s="121" t="s">
        <v>674</v>
      </c>
      <c r="F70" s="123" t="s">
        <v>676</v>
      </c>
      <c r="G70" s="121" t="s">
        <v>59</v>
      </c>
      <c r="H70" s="121" t="s">
        <v>195</v>
      </c>
      <c r="I70" s="121" t="s">
        <v>677</v>
      </c>
      <c r="J70" s="121" t="s">
        <v>678</v>
      </c>
      <c r="K70" s="121" t="s">
        <v>679</v>
      </c>
      <c r="L70" s="121" t="s">
        <v>397</v>
      </c>
      <c r="M70" s="122" t="s">
        <v>407</v>
      </c>
    </row>
    <row r="71" ht="22.5" customHeight="1">
      <c r="A71" s="119">
        <v>46229.25510869213</v>
      </c>
      <c r="B71" s="121" t="s">
        <v>680</v>
      </c>
      <c r="C71" s="121" t="s">
        <v>681</v>
      </c>
      <c r="D71" s="122" t="s">
        <v>682</v>
      </c>
      <c r="E71" s="121" t="s">
        <v>683</v>
      </c>
      <c r="F71" s="123" t="s">
        <v>684</v>
      </c>
      <c r="G71" s="121" t="s">
        <v>90</v>
      </c>
      <c r="H71" s="121" t="s">
        <v>60</v>
      </c>
      <c r="I71" s="121" t="s">
        <v>685</v>
      </c>
      <c r="K71" s="121" t="s">
        <v>64</v>
      </c>
      <c r="L71" s="121" t="s">
        <v>490</v>
      </c>
      <c r="M71" s="122" t="s">
        <v>417</v>
      </c>
    </row>
    <row r="72" ht="22.5" customHeight="1">
      <c r="A72" s="119">
        <v>46229.361411157406</v>
      </c>
      <c r="B72" s="121" t="s">
        <v>572</v>
      </c>
      <c r="C72" s="121" t="s">
        <v>576</v>
      </c>
      <c r="D72" s="122" t="s">
        <v>573</v>
      </c>
      <c r="E72" s="121" t="s">
        <v>574</v>
      </c>
      <c r="F72" s="123" t="s">
        <v>575</v>
      </c>
      <c r="G72" s="121" t="s">
        <v>59</v>
      </c>
      <c r="H72" s="121" t="s">
        <v>60</v>
      </c>
      <c r="I72" s="121" t="s">
        <v>687</v>
      </c>
      <c r="K72" s="121" t="s">
        <v>688</v>
      </c>
      <c r="L72" s="121" t="s">
        <v>388</v>
      </c>
      <c r="M72" s="122" t="s">
        <v>407</v>
      </c>
    </row>
    <row r="73" ht="22.5" customHeight="1">
      <c r="A73" s="119">
        <v>46230.43500758102</v>
      </c>
      <c r="B73" s="121" t="s">
        <v>577</v>
      </c>
      <c r="C73" s="121" t="s">
        <v>581</v>
      </c>
      <c r="D73" s="122" t="s">
        <v>578</v>
      </c>
      <c r="E73" s="121" t="s">
        <v>579</v>
      </c>
      <c r="F73" s="121" t="s">
        <v>580</v>
      </c>
      <c r="G73" s="121" t="s">
        <v>59</v>
      </c>
      <c r="H73" s="121" t="s">
        <v>352</v>
      </c>
      <c r="I73" s="121" t="s">
        <v>689</v>
      </c>
      <c r="J73" s="121" t="s">
        <v>690</v>
      </c>
      <c r="K73" s="121" t="s">
        <v>691</v>
      </c>
      <c r="L73" s="121" t="s">
        <v>397</v>
      </c>
      <c r="M73" s="122" t="s">
        <v>407</v>
      </c>
    </row>
    <row r="74" ht="22.5" customHeight="1">
      <c r="A74" s="119">
        <v>46230.44039393519</v>
      </c>
      <c r="B74" s="121" t="s">
        <v>203</v>
      </c>
      <c r="C74" s="121" t="s">
        <v>586</v>
      </c>
      <c r="D74" s="122" t="s">
        <v>583</v>
      </c>
      <c r="E74" s="121" t="s">
        <v>584</v>
      </c>
      <c r="F74" s="123" t="s">
        <v>585</v>
      </c>
      <c r="G74" s="121" t="s">
        <v>59</v>
      </c>
      <c r="H74" s="121" t="s">
        <v>60</v>
      </c>
      <c r="I74" s="121" t="s">
        <v>692</v>
      </c>
      <c r="J74" s="121" t="s">
        <v>693</v>
      </c>
      <c r="K74" s="121" t="s">
        <v>694</v>
      </c>
      <c r="L74" s="121" t="s">
        <v>388</v>
      </c>
      <c r="M74" s="122" t="s">
        <v>417</v>
      </c>
    </row>
    <row r="75" ht="22.5" customHeight="1">
      <c r="A75" s="119">
        <v>46230.44078878472</v>
      </c>
      <c r="B75" s="121" t="s">
        <v>695</v>
      </c>
      <c r="C75" s="121" t="s">
        <v>696</v>
      </c>
      <c r="D75" s="122" t="s">
        <v>697</v>
      </c>
      <c r="E75" s="121" t="s">
        <v>698</v>
      </c>
      <c r="F75" s="121" t="s">
        <v>699</v>
      </c>
      <c r="G75" s="121" t="s">
        <v>90</v>
      </c>
      <c r="H75" s="121" t="s">
        <v>60</v>
      </c>
      <c r="I75" s="121" t="s">
        <v>700</v>
      </c>
      <c r="J75" s="121" t="s">
        <v>701</v>
      </c>
      <c r="K75" s="121" t="s">
        <v>702</v>
      </c>
      <c r="L75" s="121" t="s">
        <v>388</v>
      </c>
      <c r="M75" s="122" t="s">
        <v>407</v>
      </c>
    </row>
    <row r="76" ht="22.5" customHeight="1">
      <c r="A76" s="119">
        <v>46230.710434016204</v>
      </c>
      <c r="B76" s="121" t="s">
        <v>703</v>
      </c>
      <c r="C76" s="121" t="s">
        <v>704</v>
      </c>
      <c r="D76" s="122" t="s">
        <v>705</v>
      </c>
      <c r="E76" s="121" t="s">
        <v>706</v>
      </c>
      <c r="F76" s="123" t="s">
        <v>707</v>
      </c>
      <c r="G76" s="121" t="s">
        <v>90</v>
      </c>
      <c r="H76" s="121" t="s">
        <v>60</v>
      </c>
      <c r="I76" s="121" t="s">
        <v>708</v>
      </c>
      <c r="K76" s="121" t="s">
        <v>709</v>
      </c>
      <c r="L76" s="121" t="s">
        <v>710</v>
      </c>
      <c r="M76" s="122" t="s">
        <v>711</v>
      </c>
    </row>
    <row r="77" ht="22.5" customHeight="1">
      <c r="A77" s="119">
        <v>46230.732500729166</v>
      </c>
      <c r="B77" s="121" t="s">
        <v>209</v>
      </c>
      <c r="C77" s="121" t="s">
        <v>488</v>
      </c>
      <c r="D77" s="122" t="s">
        <v>482</v>
      </c>
      <c r="E77" s="121" t="s">
        <v>483</v>
      </c>
      <c r="F77" s="123" t="s">
        <v>486</v>
      </c>
      <c r="G77" s="121" t="s">
        <v>59</v>
      </c>
      <c r="H77" s="121" t="s">
        <v>60</v>
      </c>
      <c r="I77" s="121" t="s">
        <v>712</v>
      </c>
      <c r="K77" s="121" t="s">
        <v>713</v>
      </c>
      <c r="L77" s="121" t="s">
        <v>388</v>
      </c>
      <c r="M77" s="122" t="s">
        <v>519</v>
      </c>
    </row>
    <row r="78" ht="22.5" customHeight="1">
      <c r="A78" s="119">
        <v>46231.014203750005</v>
      </c>
      <c r="B78" s="121" t="s">
        <v>215</v>
      </c>
      <c r="C78" s="121" t="s">
        <v>238</v>
      </c>
      <c r="D78" s="122" t="s">
        <v>224</v>
      </c>
      <c r="E78" s="121" t="s">
        <v>227</v>
      </c>
      <c r="F78" s="123" t="s">
        <v>230</v>
      </c>
      <c r="G78" s="121" t="s">
        <v>59</v>
      </c>
      <c r="H78" s="121" t="s">
        <v>714</v>
      </c>
      <c r="I78" s="121" t="s">
        <v>715</v>
      </c>
      <c r="K78" s="121" t="s">
        <v>716</v>
      </c>
      <c r="L78" s="121" t="s">
        <v>388</v>
      </c>
      <c r="M78" s="122" t="s">
        <v>417</v>
      </c>
    </row>
    <row r="79" ht="22.5" customHeight="1">
      <c r="A79" s="119">
        <v>46231.34144238426</v>
      </c>
      <c r="B79" s="121" t="s">
        <v>365</v>
      </c>
      <c r="C79" s="121" t="s">
        <v>366</v>
      </c>
      <c r="D79" s="122" t="s">
        <v>367</v>
      </c>
      <c r="E79" s="121" t="s">
        <v>717</v>
      </c>
      <c r="F79" s="123" t="s">
        <v>718</v>
      </c>
      <c r="G79" s="121" t="s">
        <v>90</v>
      </c>
      <c r="H79" s="121" t="s">
        <v>60</v>
      </c>
      <c r="I79" s="121" t="s">
        <v>719</v>
      </c>
      <c r="J79" s="121" t="s">
        <v>720</v>
      </c>
      <c r="K79" s="121" t="s">
        <v>721</v>
      </c>
      <c r="L79" s="121" t="s">
        <v>397</v>
      </c>
      <c r="M79" s="122" t="s">
        <v>407</v>
      </c>
    </row>
    <row r="80" ht="22.5" customHeight="1">
      <c r="A80" s="119">
        <v>46231.386908541666</v>
      </c>
      <c r="B80" s="121" t="s">
        <v>722</v>
      </c>
      <c r="C80" s="121" t="s">
        <v>722</v>
      </c>
      <c r="D80" s="122" t="s">
        <v>723</v>
      </c>
      <c r="E80" s="121" t="s">
        <v>724</v>
      </c>
      <c r="F80" s="123" t="s">
        <v>725</v>
      </c>
      <c r="G80" s="121" t="s">
        <v>90</v>
      </c>
      <c r="H80" s="121" t="s">
        <v>60</v>
      </c>
      <c r="I80" s="121" t="s">
        <v>726</v>
      </c>
      <c r="J80" s="121" t="s">
        <v>727</v>
      </c>
      <c r="K80" s="121" t="s">
        <v>728</v>
      </c>
      <c r="L80" s="121" t="s">
        <v>397</v>
      </c>
      <c r="M80" s="122" t="s">
        <v>519</v>
      </c>
    </row>
    <row r="81" ht="22.5" customHeight="1">
      <c r="A81" s="119">
        <v>46231.40143762731</v>
      </c>
      <c r="B81" s="121" t="s">
        <v>729</v>
      </c>
      <c r="C81" s="121" t="s">
        <v>730</v>
      </c>
      <c r="D81" s="122" t="s">
        <v>731</v>
      </c>
      <c r="E81" s="121" t="s">
        <v>732</v>
      </c>
      <c r="F81" s="123" t="s">
        <v>733</v>
      </c>
      <c r="G81" s="121" t="s">
        <v>90</v>
      </c>
      <c r="H81" s="121" t="s">
        <v>60</v>
      </c>
      <c r="I81" s="121" t="s">
        <v>734</v>
      </c>
      <c r="K81" s="121" t="s">
        <v>735</v>
      </c>
      <c r="L81" s="121" t="s">
        <v>388</v>
      </c>
      <c r="M81" s="122" t="s">
        <v>407</v>
      </c>
    </row>
    <row r="82" ht="22.5" customHeight="1">
      <c r="A82" s="119">
        <v>46231.44704078704</v>
      </c>
      <c r="B82" s="121" t="s">
        <v>736</v>
      </c>
      <c r="C82" s="121" t="s">
        <v>737</v>
      </c>
      <c r="D82" s="122" t="s">
        <v>738</v>
      </c>
      <c r="E82" s="121" t="s">
        <v>739</v>
      </c>
      <c r="F82" s="123" t="s">
        <v>740</v>
      </c>
      <c r="G82" s="121" t="s">
        <v>90</v>
      </c>
      <c r="H82" s="121" t="s">
        <v>240</v>
      </c>
      <c r="I82" s="121" t="s">
        <v>741</v>
      </c>
      <c r="K82" s="121" t="s">
        <v>742</v>
      </c>
      <c r="L82" s="121" t="s">
        <v>388</v>
      </c>
      <c r="M82" s="122" t="s">
        <v>407</v>
      </c>
    </row>
    <row r="83" ht="22.5" customHeight="1">
      <c r="A83" s="119">
        <v>46231.46895681713</v>
      </c>
      <c r="B83" s="121" t="s">
        <v>220</v>
      </c>
      <c r="C83" s="121" t="s">
        <v>601</v>
      </c>
      <c r="D83" s="122" t="s">
        <v>590</v>
      </c>
      <c r="E83" s="121" t="s">
        <v>591</v>
      </c>
      <c r="F83" s="123" t="s">
        <v>597</v>
      </c>
      <c r="G83" s="121" t="s">
        <v>90</v>
      </c>
      <c r="H83" s="121" t="s">
        <v>60</v>
      </c>
      <c r="I83" s="121" t="s">
        <v>743</v>
      </c>
      <c r="K83" s="121" t="s">
        <v>744</v>
      </c>
      <c r="L83" s="121" t="s">
        <v>397</v>
      </c>
      <c r="M83" s="122" t="s">
        <v>417</v>
      </c>
    </row>
    <row r="84" ht="22.5" customHeight="1">
      <c r="A84" s="119">
        <v>46231.50953900463</v>
      </c>
      <c r="B84" s="121" t="s">
        <v>745</v>
      </c>
      <c r="C84" s="121" t="s">
        <v>746</v>
      </c>
      <c r="D84" s="122" t="s">
        <v>747</v>
      </c>
      <c r="E84" s="121" t="s">
        <v>748</v>
      </c>
      <c r="F84" s="121" t="s">
        <v>749</v>
      </c>
      <c r="G84" s="121" t="s">
        <v>59</v>
      </c>
      <c r="H84" s="121" t="s">
        <v>195</v>
      </c>
      <c r="I84" s="121" t="s">
        <v>750</v>
      </c>
      <c r="J84" s="121" t="s">
        <v>750</v>
      </c>
      <c r="K84" s="121" t="s">
        <v>751</v>
      </c>
      <c r="L84" s="121" t="s">
        <v>397</v>
      </c>
      <c r="M84" s="122" t="s">
        <v>417</v>
      </c>
    </row>
    <row r="85" ht="22.5" customHeight="1">
      <c r="A85" s="119">
        <v>46231.51387702546</v>
      </c>
      <c r="B85" s="121" t="s">
        <v>752</v>
      </c>
      <c r="C85" s="121" t="s">
        <v>753</v>
      </c>
      <c r="D85" s="122" t="s">
        <v>754</v>
      </c>
      <c r="E85" s="121" t="s">
        <v>755</v>
      </c>
      <c r="F85" s="121" t="s">
        <v>756</v>
      </c>
      <c r="G85" s="121" t="s">
        <v>90</v>
      </c>
      <c r="H85" s="121" t="s">
        <v>60</v>
      </c>
      <c r="I85" s="121" t="s">
        <v>757</v>
      </c>
      <c r="K85" s="121" t="s">
        <v>742</v>
      </c>
      <c r="L85" s="121" t="s">
        <v>431</v>
      </c>
      <c r="M85" s="122" t="s">
        <v>417</v>
      </c>
    </row>
    <row r="86" ht="22.5" customHeight="1">
      <c r="A86" s="119">
        <v>46231.51902637731</v>
      </c>
      <c r="B86" s="121" t="s">
        <v>758</v>
      </c>
      <c r="C86" s="121" t="s">
        <v>759</v>
      </c>
      <c r="D86" s="122" t="s">
        <v>760</v>
      </c>
      <c r="E86" s="121" t="s">
        <v>761</v>
      </c>
      <c r="F86" s="121" t="s">
        <v>762</v>
      </c>
      <c r="G86" s="121" t="s">
        <v>59</v>
      </c>
      <c r="H86" s="121" t="s">
        <v>60</v>
      </c>
      <c r="I86" s="121" t="s">
        <v>763</v>
      </c>
      <c r="J86" s="121" t="s">
        <v>764</v>
      </c>
      <c r="K86" s="121" t="s">
        <v>765</v>
      </c>
      <c r="L86" s="121" t="s">
        <v>388</v>
      </c>
      <c r="M86" s="122" t="s">
        <v>417</v>
      </c>
    </row>
    <row r="87" ht="22.5" customHeight="1">
      <c r="A87" s="119">
        <v>46231.56299586805</v>
      </c>
      <c r="B87" s="121" t="s">
        <v>766</v>
      </c>
      <c r="C87" s="121" t="s">
        <v>767</v>
      </c>
      <c r="D87" s="122" t="s">
        <v>768</v>
      </c>
      <c r="E87" s="121" t="s">
        <v>769</v>
      </c>
      <c r="F87" s="123" t="s">
        <v>770</v>
      </c>
      <c r="G87" s="121" t="s">
        <v>59</v>
      </c>
      <c r="H87" s="121" t="s">
        <v>60</v>
      </c>
      <c r="I87" s="121" t="s">
        <v>771</v>
      </c>
      <c r="K87" s="121" t="s">
        <v>772</v>
      </c>
      <c r="L87" s="121" t="s">
        <v>773</v>
      </c>
      <c r="M87" s="122" t="s">
        <v>417</v>
      </c>
    </row>
    <row r="88" ht="22.5" customHeight="1">
      <c r="A88" s="119">
        <v>46231.62736128472</v>
      </c>
      <c r="B88" s="121" t="s">
        <v>774</v>
      </c>
      <c r="C88" s="121" t="s">
        <v>775</v>
      </c>
      <c r="D88" s="122" t="s">
        <v>776</v>
      </c>
      <c r="E88" s="121" t="s">
        <v>777</v>
      </c>
      <c r="F88" s="123" t="s">
        <v>778</v>
      </c>
      <c r="G88" s="121" t="s">
        <v>216</v>
      </c>
      <c r="H88" s="121" t="s">
        <v>60</v>
      </c>
      <c r="I88" s="121" t="s">
        <v>779</v>
      </c>
      <c r="K88" s="121" t="s">
        <v>780</v>
      </c>
      <c r="L88" s="121" t="s">
        <v>461</v>
      </c>
      <c r="M88" s="121">
        <v>800.0</v>
      </c>
    </row>
    <row r="89" ht="22.5" customHeight="1">
      <c r="A89" s="119">
        <v>46231.63390261574</v>
      </c>
      <c r="B89" s="121" t="s">
        <v>781</v>
      </c>
      <c r="C89" s="121" t="s">
        <v>782</v>
      </c>
      <c r="D89" s="122" t="s">
        <v>783</v>
      </c>
      <c r="E89" s="121" t="s">
        <v>784</v>
      </c>
      <c r="F89" s="121" t="s">
        <v>785</v>
      </c>
      <c r="G89" s="121" t="s">
        <v>59</v>
      </c>
      <c r="H89" s="121" t="s">
        <v>352</v>
      </c>
      <c r="I89" s="121" t="s">
        <v>786</v>
      </c>
      <c r="K89" s="121" t="s">
        <v>787</v>
      </c>
      <c r="L89" s="121" t="s">
        <v>431</v>
      </c>
      <c r="M89" s="122" t="s">
        <v>711</v>
      </c>
    </row>
    <row r="90" ht="22.5" customHeight="1">
      <c r="A90" s="119">
        <v>46231.65308646991</v>
      </c>
      <c r="B90" s="121" t="s">
        <v>788</v>
      </c>
      <c r="C90" s="121" t="s">
        <v>789</v>
      </c>
      <c r="D90" s="122" t="s">
        <v>790</v>
      </c>
      <c r="E90" s="121" t="s">
        <v>791</v>
      </c>
      <c r="F90" s="123" t="s">
        <v>792</v>
      </c>
      <c r="G90" s="121" t="s">
        <v>59</v>
      </c>
      <c r="H90" s="121" t="s">
        <v>60</v>
      </c>
      <c r="I90" s="121" t="s">
        <v>793</v>
      </c>
      <c r="K90" s="121" t="s">
        <v>600</v>
      </c>
      <c r="L90" s="121" t="s">
        <v>388</v>
      </c>
      <c r="M90" s="122" t="s">
        <v>417</v>
      </c>
    </row>
    <row r="91" ht="22.5" customHeight="1">
      <c r="A91" s="119">
        <v>46231.74773505787</v>
      </c>
      <c r="B91" s="121" t="s">
        <v>228</v>
      </c>
      <c r="C91" s="121" t="s">
        <v>255</v>
      </c>
      <c r="D91" s="122" t="s">
        <v>244</v>
      </c>
      <c r="E91" s="121" t="s">
        <v>245</v>
      </c>
      <c r="F91" s="121" t="s">
        <v>253</v>
      </c>
      <c r="G91" s="121" t="s">
        <v>59</v>
      </c>
      <c r="H91" s="121" t="s">
        <v>714</v>
      </c>
      <c r="I91" s="121" t="s">
        <v>794</v>
      </c>
      <c r="K91" s="121" t="s">
        <v>795</v>
      </c>
      <c r="L91" s="121" t="s">
        <v>431</v>
      </c>
      <c r="M91" s="122" t="s">
        <v>398</v>
      </c>
    </row>
    <row r="92" ht="22.5" customHeight="1">
      <c r="A92" s="119">
        <v>46231.785256504634</v>
      </c>
      <c r="B92" s="121" t="s">
        <v>796</v>
      </c>
      <c r="C92" s="121" t="s">
        <v>797</v>
      </c>
      <c r="D92" s="122" t="s">
        <v>798</v>
      </c>
      <c r="E92" s="121" t="s">
        <v>799</v>
      </c>
      <c r="F92" s="123" t="s">
        <v>800</v>
      </c>
      <c r="G92" s="121" t="s">
        <v>59</v>
      </c>
      <c r="H92" s="121" t="s">
        <v>195</v>
      </c>
      <c r="I92" s="121" t="s">
        <v>801</v>
      </c>
      <c r="J92" s="121" t="s">
        <v>802</v>
      </c>
      <c r="K92" s="121" t="s">
        <v>803</v>
      </c>
      <c r="L92" s="121" t="s">
        <v>461</v>
      </c>
      <c r="M92" s="122" t="s">
        <v>417</v>
      </c>
    </row>
    <row r="93" ht="22.5" customHeight="1">
      <c r="A93" s="119">
        <v>46231.79674376157</v>
      </c>
      <c r="B93" s="121" t="s">
        <v>804</v>
      </c>
      <c r="C93" s="121" t="s">
        <v>797</v>
      </c>
      <c r="D93" s="122" t="s">
        <v>798</v>
      </c>
      <c r="E93" s="121" t="s">
        <v>799</v>
      </c>
      <c r="F93" s="123" t="s">
        <v>805</v>
      </c>
      <c r="G93" s="121" t="s">
        <v>59</v>
      </c>
      <c r="H93" s="121" t="s">
        <v>195</v>
      </c>
      <c r="I93" s="121" t="s">
        <v>806</v>
      </c>
      <c r="K93" s="121" t="s">
        <v>807</v>
      </c>
      <c r="L93" s="121" t="s">
        <v>461</v>
      </c>
      <c r="M93" s="122" t="s">
        <v>417</v>
      </c>
    </row>
    <row r="94" ht="22.5" customHeight="1">
      <c r="A94" s="119">
        <v>46231.81519559028</v>
      </c>
      <c r="B94" s="121" t="s">
        <v>808</v>
      </c>
      <c r="C94" s="121" t="s">
        <v>809</v>
      </c>
      <c r="D94" s="122" t="s">
        <v>810</v>
      </c>
      <c r="E94" s="121" t="s">
        <v>811</v>
      </c>
      <c r="F94" s="123" t="s">
        <v>812</v>
      </c>
      <c r="G94" s="121" t="s">
        <v>59</v>
      </c>
      <c r="H94" s="121" t="s">
        <v>60</v>
      </c>
      <c r="I94" s="121" t="s">
        <v>813</v>
      </c>
      <c r="K94" s="121" t="s">
        <v>814</v>
      </c>
      <c r="L94" s="121" t="s">
        <v>461</v>
      </c>
      <c r="M94" s="122" t="s">
        <v>407</v>
      </c>
    </row>
    <row r="95" ht="22.5" customHeight="1">
      <c r="A95" s="119">
        <v>46231.84439951389</v>
      </c>
      <c r="B95" s="121" t="s">
        <v>815</v>
      </c>
      <c r="C95" s="121" t="s">
        <v>816</v>
      </c>
      <c r="D95" s="122" t="s">
        <v>817</v>
      </c>
      <c r="E95" s="121" t="s">
        <v>818</v>
      </c>
      <c r="F95" s="123" t="s">
        <v>819</v>
      </c>
      <c r="G95" s="121" t="s">
        <v>90</v>
      </c>
      <c r="H95" s="121" t="s">
        <v>240</v>
      </c>
      <c r="I95" s="121" t="s">
        <v>820</v>
      </c>
      <c r="J95" s="121" t="s">
        <v>821</v>
      </c>
      <c r="K95" s="121" t="s">
        <v>822</v>
      </c>
      <c r="L95" s="121" t="s">
        <v>378</v>
      </c>
      <c r="M95" s="122" t="s">
        <v>407</v>
      </c>
    </row>
    <row r="96" ht="22.5" customHeight="1">
      <c r="A96" s="119">
        <v>46231.84899456019</v>
      </c>
      <c r="B96" s="121" t="s">
        <v>823</v>
      </c>
      <c r="C96" s="121" t="s">
        <v>824</v>
      </c>
      <c r="D96" s="122" t="s">
        <v>825</v>
      </c>
      <c r="E96" s="121" t="s">
        <v>826</v>
      </c>
      <c r="F96" s="123" t="s">
        <v>827</v>
      </c>
      <c r="G96" s="121" t="s">
        <v>59</v>
      </c>
      <c r="H96" s="121" t="s">
        <v>240</v>
      </c>
      <c r="I96" s="121" t="s">
        <v>828</v>
      </c>
      <c r="J96" s="121" t="s">
        <v>829</v>
      </c>
      <c r="K96" s="121" t="s">
        <v>830</v>
      </c>
      <c r="L96" s="121" t="s">
        <v>461</v>
      </c>
      <c r="M96" s="121">
        <v>12.0</v>
      </c>
    </row>
    <row r="97" ht="22.5" customHeight="1">
      <c r="A97" s="119">
        <v>46231.88748788195</v>
      </c>
      <c r="B97" s="121" t="s">
        <v>831</v>
      </c>
      <c r="C97" s="121" t="s">
        <v>832</v>
      </c>
      <c r="D97" s="122" t="s">
        <v>833</v>
      </c>
      <c r="E97" s="121" t="s">
        <v>834</v>
      </c>
      <c r="F97" s="123" t="s">
        <v>835</v>
      </c>
      <c r="G97" s="121" t="s">
        <v>90</v>
      </c>
      <c r="H97" s="121" t="s">
        <v>60</v>
      </c>
      <c r="I97" s="121" t="s">
        <v>836</v>
      </c>
      <c r="K97" s="121" t="s">
        <v>742</v>
      </c>
      <c r="L97" s="121" t="s">
        <v>388</v>
      </c>
      <c r="M97" s="122" t="s">
        <v>407</v>
      </c>
    </row>
    <row r="98" ht="22.5" customHeight="1">
      <c r="A98" s="119">
        <v>46231.88892791666</v>
      </c>
      <c r="B98" s="121" t="s">
        <v>837</v>
      </c>
      <c r="C98" s="121" t="s">
        <v>838</v>
      </c>
      <c r="D98" s="122" t="s">
        <v>839</v>
      </c>
      <c r="E98" s="121" t="s">
        <v>840</v>
      </c>
      <c r="F98" s="121" t="s">
        <v>841</v>
      </c>
      <c r="G98" s="121" t="s">
        <v>216</v>
      </c>
      <c r="H98" s="121" t="s">
        <v>598</v>
      </c>
      <c r="I98" s="121" t="s">
        <v>842</v>
      </c>
      <c r="J98" s="121" t="s">
        <v>843</v>
      </c>
      <c r="K98" s="121" t="s">
        <v>844</v>
      </c>
      <c r="L98" s="121" t="s">
        <v>388</v>
      </c>
      <c r="M98" s="122" t="s">
        <v>417</v>
      </c>
    </row>
    <row r="99" ht="22.5" customHeight="1">
      <c r="A99" s="119">
        <v>46231.89986680556</v>
      </c>
      <c r="B99" s="121" t="s">
        <v>845</v>
      </c>
      <c r="C99" s="121" t="s">
        <v>846</v>
      </c>
      <c r="D99" s="122" t="s">
        <v>847</v>
      </c>
      <c r="E99" s="121" t="s">
        <v>848</v>
      </c>
      <c r="F99" s="123" t="s">
        <v>849</v>
      </c>
      <c r="G99" s="121" t="s">
        <v>59</v>
      </c>
      <c r="H99" s="121" t="s">
        <v>60</v>
      </c>
      <c r="I99" s="121" t="s">
        <v>850</v>
      </c>
      <c r="K99" s="121" t="s">
        <v>64</v>
      </c>
      <c r="L99" s="121" t="s">
        <v>397</v>
      </c>
      <c r="M99" s="122" t="s">
        <v>407</v>
      </c>
    </row>
    <row r="100" ht="22.5" customHeight="1">
      <c r="A100" s="119">
        <v>46231.90099137732</v>
      </c>
      <c r="B100" s="121" t="s">
        <v>851</v>
      </c>
      <c r="C100" s="121" t="s">
        <v>852</v>
      </c>
      <c r="D100" s="122" t="s">
        <v>853</v>
      </c>
      <c r="E100" s="121" t="s">
        <v>854</v>
      </c>
      <c r="F100" s="123" t="s">
        <v>855</v>
      </c>
      <c r="G100" s="121" t="s">
        <v>59</v>
      </c>
      <c r="H100" s="121" t="s">
        <v>60</v>
      </c>
      <c r="I100" s="121" t="s">
        <v>856</v>
      </c>
      <c r="K100" s="121" t="s">
        <v>857</v>
      </c>
      <c r="L100" s="121" t="s">
        <v>431</v>
      </c>
      <c r="M100" s="122" t="s">
        <v>407</v>
      </c>
    </row>
    <row r="101" ht="22.5" customHeight="1">
      <c r="A101" s="119">
        <v>46231.90501325231</v>
      </c>
      <c r="B101" s="121" t="s">
        <v>858</v>
      </c>
      <c r="C101" s="121" t="s">
        <v>859</v>
      </c>
      <c r="D101" s="122" t="s">
        <v>860</v>
      </c>
      <c r="E101" s="121" t="s">
        <v>861</v>
      </c>
      <c r="F101" s="123" t="s">
        <v>862</v>
      </c>
      <c r="G101" s="121" t="s">
        <v>59</v>
      </c>
      <c r="H101" s="121" t="s">
        <v>240</v>
      </c>
      <c r="I101" s="121" t="s">
        <v>863</v>
      </c>
      <c r="J101" s="121" t="s">
        <v>864</v>
      </c>
      <c r="K101" s="121" t="s">
        <v>865</v>
      </c>
      <c r="L101" s="121" t="s">
        <v>461</v>
      </c>
      <c r="M101" s="122" t="s">
        <v>398</v>
      </c>
    </row>
    <row r="102" ht="22.5" customHeight="1">
      <c r="A102" s="119">
        <v>46231.91311628472</v>
      </c>
      <c r="B102" s="121" t="s">
        <v>234</v>
      </c>
      <c r="C102" s="121" t="s">
        <v>269</v>
      </c>
      <c r="D102" s="122" t="s">
        <v>262</v>
      </c>
      <c r="E102" s="121" t="s">
        <v>264</v>
      </c>
      <c r="F102" s="123" t="s">
        <v>266</v>
      </c>
      <c r="G102" s="121" t="s">
        <v>59</v>
      </c>
      <c r="H102" s="121" t="s">
        <v>60</v>
      </c>
      <c r="I102" s="121" t="s">
        <v>64</v>
      </c>
      <c r="K102" s="121" t="s">
        <v>866</v>
      </c>
      <c r="L102" s="121" t="s">
        <v>431</v>
      </c>
      <c r="M102" s="122" t="s">
        <v>417</v>
      </c>
    </row>
    <row r="103" ht="22.5" customHeight="1">
      <c r="A103" s="119">
        <v>46231.91814659722</v>
      </c>
      <c r="B103" s="121" t="s">
        <v>867</v>
      </c>
      <c r="C103" s="121" t="s">
        <v>868</v>
      </c>
      <c r="D103" s="122" t="s">
        <v>869</v>
      </c>
      <c r="E103" s="121" t="s">
        <v>870</v>
      </c>
      <c r="F103" s="121" t="s">
        <v>871</v>
      </c>
      <c r="G103" s="121" t="s">
        <v>59</v>
      </c>
      <c r="H103" s="121" t="s">
        <v>60</v>
      </c>
      <c r="I103" s="121" t="s">
        <v>872</v>
      </c>
      <c r="K103" s="121" t="s">
        <v>873</v>
      </c>
      <c r="L103" s="121" t="s">
        <v>388</v>
      </c>
      <c r="M103" s="122" t="s">
        <v>407</v>
      </c>
    </row>
    <row r="104" ht="22.5" customHeight="1">
      <c r="A104" s="119">
        <v>46231.93165017361</v>
      </c>
      <c r="B104" s="121" t="s">
        <v>874</v>
      </c>
      <c r="C104" s="121" t="s">
        <v>512</v>
      </c>
      <c r="D104" s="122" t="s">
        <v>513</v>
      </c>
      <c r="E104" s="121" t="s">
        <v>875</v>
      </c>
      <c r="F104" s="123" t="s">
        <v>876</v>
      </c>
      <c r="G104" s="121" t="s">
        <v>90</v>
      </c>
      <c r="H104" s="121" t="s">
        <v>60</v>
      </c>
      <c r="I104" s="121" t="s">
        <v>877</v>
      </c>
      <c r="J104" s="121" t="s">
        <v>64</v>
      </c>
      <c r="K104" s="121" t="s">
        <v>64</v>
      </c>
      <c r="L104" s="121" t="s">
        <v>878</v>
      </c>
      <c r="M104" s="122" t="s">
        <v>519</v>
      </c>
    </row>
    <row r="105" ht="22.5" customHeight="1">
      <c r="A105" s="119">
        <v>46231.934015983796</v>
      </c>
      <c r="B105" s="121" t="s">
        <v>879</v>
      </c>
      <c r="C105" s="121" t="s">
        <v>880</v>
      </c>
      <c r="D105" s="122" t="s">
        <v>881</v>
      </c>
      <c r="E105" s="121" t="s">
        <v>882</v>
      </c>
      <c r="F105" s="123" t="s">
        <v>883</v>
      </c>
      <c r="G105" s="121" t="s">
        <v>90</v>
      </c>
      <c r="H105" s="121" t="s">
        <v>60</v>
      </c>
      <c r="I105" s="121" t="s">
        <v>884</v>
      </c>
      <c r="J105" s="121" t="s">
        <v>885</v>
      </c>
      <c r="K105" s="121" t="s">
        <v>886</v>
      </c>
      <c r="L105" s="121" t="s">
        <v>378</v>
      </c>
      <c r="M105" s="122" t="s">
        <v>407</v>
      </c>
    </row>
    <row r="106" ht="22.5" customHeight="1">
      <c r="A106" s="119">
        <v>46231.957483680555</v>
      </c>
      <c r="B106" s="121" t="s">
        <v>887</v>
      </c>
      <c r="C106" s="121" t="s">
        <v>888</v>
      </c>
      <c r="D106" s="122" t="s">
        <v>889</v>
      </c>
      <c r="E106" s="121" t="s">
        <v>890</v>
      </c>
      <c r="F106" s="121" t="s">
        <v>891</v>
      </c>
      <c r="G106" s="121" t="s">
        <v>59</v>
      </c>
      <c r="H106" s="121" t="s">
        <v>60</v>
      </c>
      <c r="I106" s="121" t="s">
        <v>892</v>
      </c>
      <c r="J106" s="121" t="s">
        <v>893</v>
      </c>
      <c r="K106" s="121" t="s">
        <v>894</v>
      </c>
      <c r="L106" s="121" t="s">
        <v>895</v>
      </c>
      <c r="M106" s="122" t="s">
        <v>417</v>
      </c>
    </row>
    <row r="107" ht="22.5" customHeight="1">
      <c r="A107" s="119">
        <v>46231.95855534722</v>
      </c>
      <c r="B107" s="121" t="s">
        <v>896</v>
      </c>
      <c r="C107" s="121" t="s">
        <v>897</v>
      </c>
      <c r="D107" s="122" t="s">
        <v>898</v>
      </c>
      <c r="E107" s="121" t="s">
        <v>899</v>
      </c>
      <c r="F107" s="123" t="s">
        <v>900</v>
      </c>
      <c r="G107" s="121" t="s">
        <v>59</v>
      </c>
      <c r="H107" s="121" t="s">
        <v>60</v>
      </c>
      <c r="I107" s="121" t="s">
        <v>901</v>
      </c>
      <c r="J107" s="121" t="s">
        <v>902</v>
      </c>
      <c r="K107" s="121" t="s">
        <v>903</v>
      </c>
      <c r="L107" s="121" t="s">
        <v>388</v>
      </c>
      <c r="M107" s="122" t="s">
        <v>407</v>
      </c>
    </row>
    <row r="108" ht="22.5" customHeight="1">
      <c r="A108" s="119">
        <v>46231.97115633102</v>
      </c>
      <c r="B108" s="121" t="s">
        <v>904</v>
      </c>
      <c r="C108" s="121" t="s">
        <v>905</v>
      </c>
      <c r="D108" s="122" t="s">
        <v>906</v>
      </c>
      <c r="E108" s="121" t="s">
        <v>907</v>
      </c>
      <c r="F108" s="123" t="s">
        <v>908</v>
      </c>
      <c r="G108" s="121" t="s">
        <v>59</v>
      </c>
      <c r="H108" s="121" t="s">
        <v>60</v>
      </c>
      <c r="I108" s="121" t="s">
        <v>909</v>
      </c>
      <c r="J108" s="121" t="s">
        <v>910</v>
      </c>
      <c r="K108" s="121" t="s">
        <v>911</v>
      </c>
      <c r="L108" s="121" t="s">
        <v>397</v>
      </c>
      <c r="M108" s="122" t="s">
        <v>407</v>
      </c>
    </row>
    <row r="109" ht="22.5" customHeight="1">
      <c r="A109" s="119">
        <v>46231.978618333334</v>
      </c>
      <c r="B109" s="121" t="s">
        <v>912</v>
      </c>
      <c r="C109" s="121" t="s">
        <v>913</v>
      </c>
      <c r="D109" s="122" t="s">
        <v>914</v>
      </c>
      <c r="E109" s="121" t="s">
        <v>915</v>
      </c>
      <c r="F109" s="121" t="s">
        <v>916</v>
      </c>
      <c r="G109" s="121" t="s">
        <v>59</v>
      </c>
      <c r="H109" s="121" t="s">
        <v>195</v>
      </c>
      <c r="I109" s="121" t="s">
        <v>917</v>
      </c>
      <c r="J109" s="121" t="s">
        <v>64</v>
      </c>
      <c r="K109" s="121" t="s">
        <v>716</v>
      </c>
      <c r="L109" s="121" t="s">
        <v>431</v>
      </c>
      <c r="M109" s="122" t="s">
        <v>417</v>
      </c>
    </row>
    <row r="110" ht="22.5" customHeight="1">
      <c r="A110" s="119">
        <v>46231.99711646991</v>
      </c>
      <c r="B110" s="121" t="s">
        <v>918</v>
      </c>
      <c r="C110" s="121" t="s">
        <v>919</v>
      </c>
      <c r="D110" s="122" t="s">
        <v>920</v>
      </c>
      <c r="E110" s="121" t="s">
        <v>921</v>
      </c>
      <c r="F110" s="123" t="s">
        <v>922</v>
      </c>
      <c r="G110" s="121" t="s">
        <v>216</v>
      </c>
      <c r="H110" s="121" t="s">
        <v>60</v>
      </c>
      <c r="I110" s="121" t="s">
        <v>923</v>
      </c>
      <c r="K110" s="121" t="s">
        <v>924</v>
      </c>
      <c r="L110" s="121" t="s">
        <v>388</v>
      </c>
      <c r="M110" s="122" t="s">
        <v>417</v>
      </c>
    </row>
    <row r="111" ht="22.5" customHeight="1">
      <c r="A111" s="119">
        <v>46232.00025291667</v>
      </c>
      <c r="B111" s="121" t="s">
        <v>239</v>
      </c>
      <c r="C111" s="121" t="s">
        <v>284</v>
      </c>
      <c r="D111" s="122" t="s">
        <v>274</v>
      </c>
      <c r="E111" s="121" t="s">
        <v>275</v>
      </c>
      <c r="F111" s="123" t="s">
        <v>282</v>
      </c>
      <c r="G111" s="121" t="s">
        <v>59</v>
      </c>
      <c r="H111" s="121" t="s">
        <v>60</v>
      </c>
      <c r="I111" s="121" t="s">
        <v>925</v>
      </c>
      <c r="J111" s="121" t="s">
        <v>926</v>
      </c>
      <c r="K111" s="121" t="s">
        <v>742</v>
      </c>
      <c r="L111" s="121" t="s">
        <v>461</v>
      </c>
      <c r="M111" s="122" t="s">
        <v>407</v>
      </c>
    </row>
    <row r="112" ht="22.5" customHeight="1">
      <c r="A112" s="119">
        <v>46232.531430462965</v>
      </c>
      <c r="B112" s="121" t="s">
        <v>247</v>
      </c>
      <c r="C112" s="121" t="s">
        <v>391</v>
      </c>
      <c r="D112" s="122" t="s">
        <v>383</v>
      </c>
      <c r="E112" s="121" t="s">
        <v>385</v>
      </c>
      <c r="F112" s="123" t="s">
        <v>387</v>
      </c>
      <c r="G112" s="121" t="s">
        <v>59</v>
      </c>
      <c r="H112" s="121" t="s">
        <v>60</v>
      </c>
      <c r="I112" s="121" t="s">
        <v>927</v>
      </c>
      <c r="J112" s="121" t="s">
        <v>928</v>
      </c>
      <c r="K112" s="121" t="s">
        <v>929</v>
      </c>
      <c r="L112" s="121" t="s">
        <v>397</v>
      </c>
      <c r="M112" s="122" t="s">
        <v>417</v>
      </c>
    </row>
    <row r="113" ht="22.5" customHeight="1">
      <c r="A113" s="119">
        <v>46235.439786435185</v>
      </c>
      <c r="B113" s="121" t="s">
        <v>930</v>
      </c>
      <c r="C113" s="121" t="s">
        <v>931</v>
      </c>
      <c r="D113" s="122" t="s">
        <v>932</v>
      </c>
      <c r="E113" s="121" t="s">
        <v>933</v>
      </c>
      <c r="F113" s="123" t="s">
        <v>934</v>
      </c>
      <c r="G113" s="121" t="s">
        <v>59</v>
      </c>
      <c r="H113" s="121" t="s">
        <v>935</v>
      </c>
      <c r="I113" s="121" t="s">
        <v>936</v>
      </c>
      <c r="J113" s="121" t="s">
        <v>64</v>
      </c>
      <c r="K113" s="121" t="s">
        <v>937</v>
      </c>
      <c r="L113" s="121" t="s">
        <v>388</v>
      </c>
      <c r="M113" s="122" t="s">
        <v>519</v>
      </c>
    </row>
    <row r="114" ht="22.5" customHeight="1">
      <c r="A114" s="119">
        <v>46235.64558700232</v>
      </c>
      <c r="B114" s="121" t="s">
        <v>257</v>
      </c>
      <c r="C114" s="121" t="s">
        <v>502</v>
      </c>
      <c r="D114" s="122" t="s">
        <v>494</v>
      </c>
      <c r="E114" s="121" t="s">
        <v>496</v>
      </c>
      <c r="F114" s="123" t="s">
        <v>500</v>
      </c>
      <c r="G114" s="121" t="s">
        <v>59</v>
      </c>
      <c r="H114" s="121" t="s">
        <v>195</v>
      </c>
      <c r="I114" s="121" t="s">
        <v>938</v>
      </c>
      <c r="K114" s="121" t="s">
        <v>939</v>
      </c>
      <c r="L114" s="121" t="s">
        <v>940</v>
      </c>
      <c r="M114" s="122" t="s">
        <v>519</v>
      </c>
    </row>
    <row r="115" ht="22.5" customHeight="1">
      <c r="A115" s="119">
        <v>46235.82211738426</v>
      </c>
      <c r="B115" s="121" t="s">
        <v>941</v>
      </c>
      <c r="C115" s="121" t="s">
        <v>942</v>
      </c>
      <c r="D115" s="122" t="s">
        <v>943</v>
      </c>
      <c r="E115" s="121" t="s">
        <v>944</v>
      </c>
      <c r="F115" s="123" t="s">
        <v>945</v>
      </c>
      <c r="G115" s="121" t="s">
        <v>59</v>
      </c>
      <c r="H115" s="121" t="s">
        <v>240</v>
      </c>
      <c r="I115" s="121" t="s">
        <v>946</v>
      </c>
      <c r="K115" s="121" t="s">
        <v>947</v>
      </c>
      <c r="L115" s="121" t="s">
        <v>557</v>
      </c>
      <c r="M115" s="122" t="s">
        <v>407</v>
      </c>
    </row>
    <row r="116" ht="22.5" customHeight="1">
      <c r="A116" s="119">
        <v>46235.84958756945</v>
      </c>
      <c r="B116" s="121" t="s">
        <v>948</v>
      </c>
      <c r="C116" s="121" t="s">
        <v>949</v>
      </c>
      <c r="D116" s="122" t="s">
        <v>950</v>
      </c>
      <c r="E116" s="121" t="s">
        <v>951</v>
      </c>
      <c r="F116" s="123" t="s">
        <v>952</v>
      </c>
      <c r="G116" s="121" t="s">
        <v>59</v>
      </c>
      <c r="H116" s="121" t="s">
        <v>240</v>
      </c>
      <c r="I116" s="121" t="s">
        <v>953</v>
      </c>
      <c r="K116" s="121" t="s">
        <v>954</v>
      </c>
      <c r="L116" s="121" t="s">
        <v>388</v>
      </c>
      <c r="M116" s="122" t="s">
        <v>407</v>
      </c>
    </row>
  </sheetData>
  <hyperlinks>
    <hyperlink r:id="rId1" ref="F2"/>
    <hyperlink r:id="rId2" ref="F3"/>
    <hyperlink r:id="rId3" ref="F4"/>
    <hyperlink r:id="rId4" ref="F5"/>
    <hyperlink r:id="rId5" ref="F6"/>
    <hyperlink r:id="rId6" ref="F7"/>
    <hyperlink r:id="rId7" ref="F9"/>
    <hyperlink r:id="rId8" ref="F10"/>
    <hyperlink r:id="rId9" ref="F11"/>
    <hyperlink r:id="rId10" ref="F12"/>
    <hyperlink r:id="rId11" ref="F13"/>
    <hyperlink r:id="rId12" ref="F16"/>
    <hyperlink r:id="rId13" ref="F17"/>
    <hyperlink r:id="rId14" ref="F18"/>
    <hyperlink r:id="rId15" ref="F19"/>
    <hyperlink r:id="rId16" ref="F21"/>
    <hyperlink r:id="rId17" ref="F22"/>
    <hyperlink r:id="rId18" ref="F23"/>
    <hyperlink r:id="rId19" ref="F25"/>
    <hyperlink r:id="rId20" ref="F26"/>
    <hyperlink r:id="rId21" ref="F27"/>
    <hyperlink r:id="rId22" ref="F28"/>
    <hyperlink r:id="rId23" ref="F29"/>
    <hyperlink r:id="rId24" ref="F30"/>
    <hyperlink r:id="rId25" ref="F31"/>
    <hyperlink r:id="rId26" ref="F33"/>
    <hyperlink r:id="rId27" ref="F34"/>
    <hyperlink r:id="rId28" ref="F35"/>
    <hyperlink r:id="rId29" ref="F36"/>
    <hyperlink r:id="rId30" ref="F37"/>
    <hyperlink r:id="rId31" ref="F38"/>
    <hyperlink r:id="rId32" ref="F39"/>
    <hyperlink r:id="rId33" ref="F40"/>
    <hyperlink r:id="rId34" ref="F42"/>
    <hyperlink r:id="rId35" ref="F44"/>
    <hyperlink r:id="rId36" ref="F45"/>
    <hyperlink r:id="rId37" ref="F46"/>
    <hyperlink r:id="rId38" ref="F47"/>
    <hyperlink r:id="rId39" ref="F48"/>
    <hyperlink r:id="rId40" ref="F49"/>
    <hyperlink r:id="rId41" ref="F50"/>
    <hyperlink r:id="rId42" ref="F51"/>
    <hyperlink r:id="rId43" ref="F52"/>
    <hyperlink r:id="rId44" ref="F55"/>
    <hyperlink r:id="rId45" ref="F56"/>
    <hyperlink r:id="rId46" ref="F57"/>
    <hyperlink r:id="rId47" ref="F58"/>
    <hyperlink r:id="rId48" ref="F59"/>
    <hyperlink r:id="rId49" ref="F60"/>
    <hyperlink r:id="rId50" ref="F63"/>
    <hyperlink r:id="rId51" ref="F64"/>
    <hyperlink r:id="rId52" ref="F65"/>
    <hyperlink r:id="rId53" ref="F66"/>
    <hyperlink r:id="rId54" ref="F67"/>
    <hyperlink r:id="rId55" ref="F68"/>
    <hyperlink r:id="rId56" ref="F69"/>
    <hyperlink r:id="rId57" ref="F70"/>
    <hyperlink r:id="rId58" ref="F71"/>
    <hyperlink r:id="rId59" ref="F72"/>
    <hyperlink r:id="rId60" ref="F74"/>
    <hyperlink r:id="rId61" ref="F76"/>
    <hyperlink r:id="rId62" ref="F77"/>
    <hyperlink r:id="rId63" ref="F78"/>
    <hyperlink r:id="rId64" ref="F79"/>
    <hyperlink r:id="rId65" ref="F80"/>
    <hyperlink r:id="rId66" ref="F81"/>
    <hyperlink r:id="rId67" ref="F82"/>
    <hyperlink r:id="rId68" ref="F83"/>
    <hyperlink r:id="rId69" ref="F87"/>
    <hyperlink r:id="rId70" ref="F88"/>
    <hyperlink r:id="rId71" ref="F90"/>
    <hyperlink r:id="rId72" ref="F92"/>
    <hyperlink r:id="rId73" ref="F93"/>
    <hyperlink r:id="rId74" ref="F94"/>
    <hyperlink r:id="rId75" ref="F95"/>
    <hyperlink r:id="rId76" ref="F96"/>
    <hyperlink r:id="rId77" ref="F97"/>
    <hyperlink r:id="rId78" ref="F99"/>
    <hyperlink r:id="rId79" ref="F100"/>
    <hyperlink r:id="rId80" ref="F101"/>
    <hyperlink r:id="rId81" ref="F102"/>
    <hyperlink r:id="rId82" ref="F104"/>
    <hyperlink r:id="rId83" ref="F105"/>
    <hyperlink r:id="rId84" ref="F107"/>
    <hyperlink r:id="rId85" ref="F108"/>
    <hyperlink r:id="rId86" ref="F110"/>
    <hyperlink r:id="rId87" ref="F111"/>
    <hyperlink r:id="rId88" ref="F112"/>
    <hyperlink r:id="rId89" ref="F113"/>
    <hyperlink r:id="rId90" ref="F114"/>
    <hyperlink r:id="rId91" ref="F115"/>
    <hyperlink r:id="rId92" ref="F116"/>
  </hyperlinks>
  <drawing r:id="rId93"/>
  <tableParts count="1">
    <tablePart r:id="rId9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0"/>
    <col customWidth="1" min="2" max="2" width="18.88"/>
    <col customWidth="1" min="3" max="3" width="14.0"/>
    <col customWidth="1" min="4" max="4" width="18.63"/>
    <col customWidth="1" min="5" max="5" width="16.38"/>
    <col customWidth="1" min="6" max="6" width="16.75"/>
    <col customWidth="1" min="7" max="7" width="14.75"/>
    <col customWidth="1" min="8" max="8" width="13.13"/>
    <col customWidth="1" min="9" max="9" width="17.0"/>
    <col customWidth="1" min="10" max="10" width="14.25"/>
    <col customWidth="1" min="11" max="11" width="13.5"/>
    <col customWidth="1" min="12" max="12" width="9.63"/>
    <col customWidth="1" min="13" max="13" width="13.0"/>
    <col customWidth="1" min="14" max="16" width="18.88"/>
  </cols>
  <sheetData>
    <row r="1" ht="66.0" customHeight="1">
      <c r="A1" s="26" t="s">
        <v>3</v>
      </c>
      <c r="B1" s="27" t="s">
        <v>2</v>
      </c>
      <c r="C1" s="27" t="s">
        <v>25</v>
      </c>
      <c r="D1" s="32" t="s">
        <v>28</v>
      </c>
      <c r="E1" s="27" t="s">
        <v>30</v>
      </c>
      <c r="F1" s="27" t="s">
        <v>32</v>
      </c>
      <c r="G1" s="27" t="s">
        <v>34</v>
      </c>
      <c r="H1" s="27" t="s">
        <v>36</v>
      </c>
      <c r="I1" s="27" t="s">
        <v>38</v>
      </c>
      <c r="J1" s="27" t="s">
        <v>40</v>
      </c>
      <c r="K1" s="41" t="s">
        <v>42</v>
      </c>
      <c r="L1" s="26" t="s">
        <v>24</v>
      </c>
      <c r="M1" s="41" t="s">
        <v>45</v>
      </c>
      <c r="N1" s="46" t="s">
        <v>47</v>
      </c>
      <c r="O1" s="46" t="s">
        <v>48</v>
      </c>
      <c r="P1" s="47"/>
    </row>
    <row r="2" ht="39.75" customHeight="1">
      <c r="A2" s="51">
        <v>1.0</v>
      </c>
      <c r="B2" s="55" t="s">
        <v>27</v>
      </c>
      <c r="C2" s="58" t="s">
        <v>53</v>
      </c>
      <c r="D2" s="55" t="s">
        <v>55</v>
      </c>
      <c r="E2" s="62">
        <v>45809.0</v>
      </c>
      <c r="F2" s="62">
        <v>45809.0</v>
      </c>
      <c r="G2" s="51">
        <v>3.0</v>
      </c>
      <c r="H2" s="65">
        <v>0.0</v>
      </c>
      <c r="I2" s="70">
        <f t="shared" ref="I2:I45" si="1">EDATE(F2, G2)</f>
        <v>45901</v>
      </c>
      <c r="J2" s="51" t="b">
        <v>0</v>
      </c>
      <c r="K2" s="79" t="s">
        <v>58</v>
      </c>
      <c r="L2" s="55" t="s">
        <v>63</v>
      </c>
      <c r="M2" s="80" t="s">
        <v>64</v>
      </c>
      <c r="N2" s="81"/>
      <c r="O2" s="81"/>
      <c r="P2" s="82"/>
    </row>
    <row r="3" ht="39.75" customHeight="1">
      <c r="A3" s="84">
        <v>11.0</v>
      </c>
      <c r="B3" s="55" t="s">
        <v>65</v>
      </c>
      <c r="C3" s="58" t="s">
        <v>66</v>
      </c>
      <c r="D3" s="55" t="s">
        <v>67</v>
      </c>
      <c r="E3" s="62">
        <v>46152.0</v>
      </c>
      <c r="F3" s="62">
        <v>46152.0</v>
      </c>
      <c r="G3" s="51">
        <v>0.0</v>
      </c>
      <c r="H3" s="65">
        <v>0.0</v>
      </c>
      <c r="I3" s="86">
        <f t="shared" si="1"/>
        <v>46152</v>
      </c>
      <c r="J3" s="51" t="b">
        <v>0</v>
      </c>
      <c r="K3" s="79" t="s">
        <v>74</v>
      </c>
      <c r="L3" s="55" t="s">
        <v>78</v>
      </c>
      <c r="M3" s="80" t="s">
        <v>64</v>
      </c>
      <c r="N3" s="81"/>
      <c r="O3" s="81"/>
      <c r="P3" s="82"/>
    </row>
    <row r="4" ht="39.75" customHeight="1">
      <c r="A4" s="90">
        <v>41.0</v>
      </c>
      <c r="B4" s="91" t="s">
        <v>81</v>
      </c>
      <c r="C4" s="92" t="s">
        <v>83</v>
      </c>
      <c r="D4" s="93" t="s">
        <v>86</v>
      </c>
      <c r="E4" s="95">
        <v>46223.0</v>
      </c>
      <c r="F4" s="95">
        <v>46223.0</v>
      </c>
      <c r="G4" s="96">
        <v>3.0</v>
      </c>
      <c r="H4" s="97">
        <v>85000.0</v>
      </c>
      <c r="I4" s="98">
        <f t="shared" si="1"/>
        <v>46315</v>
      </c>
      <c r="J4" s="99"/>
      <c r="K4" s="101" t="s">
        <v>94</v>
      </c>
      <c r="L4" s="103" t="s">
        <v>64</v>
      </c>
      <c r="M4" s="93" t="s">
        <v>100</v>
      </c>
      <c r="N4" s="104"/>
      <c r="O4" s="104"/>
      <c r="P4" s="82"/>
    </row>
    <row r="5" ht="39.75" customHeight="1">
      <c r="A5" s="107">
        <v>2.0</v>
      </c>
      <c r="B5" s="109" t="s">
        <v>43</v>
      </c>
      <c r="C5" s="92" t="s">
        <v>96</v>
      </c>
      <c r="D5" s="111" t="s">
        <v>98</v>
      </c>
      <c r="E5" s="113">
        <v>45839.0</v>
      </c>
      <c r="F5" s="113">
        <v>46204.0</v>
      </c>
      <c r="G5" s="99">
        <v>3.0</v>
      </c>
      <c r="H5" s="97">
        <v>80000.0</v>
      </c>
      <c r="I5" s="98">
        <f t="shared" si="1"/>
        <v>46296</v>
      </c>
      <c r="J5" s="99" t="b">
        <v>0</v>
      </c>
      <c r="K5" s="101" t="s">
        <v>99</v>
      </c>
      <c r="L5" s="103" t="s">
        <v>95</v>
      </c>
      <c r="M5" s="114" t="s">
        <v>114</v>
      </c>
      <c r="N5" s="115"/>
      <c r="O5" s="115"/>
      <c r="P5" s="82"/>
    </row>
    <row r="6" ht="39.75" customHeight="1">
      <c r="A6" s="118">
        <v>10.0</v>
      </c>
      <c r="B6" s="93" t="s">
        <v>97</v>
      </c>
      <c r="C6" s="120" t="s">
        <v>117</v>
      </c>
      <c r="D6" s="93" t="s">
        <v>119</v>
      </c>
      <c r="E6" s="95">
        <v>46151.0</v>
      </c>
      <c r="F6" s="95">
        <v>46235.0</v>
      </c>
      <c r="G6" s="96">
        <v>3.0</v>
      </c>
      <c r="H6" s="97">
        <v>85000.0</v>
      </c>
      <c r="I6" s="98">
        <f t="shared" si="1"/>
        <v>46327</v>
      </c>
      <c r="J6" s="99" t="b">
        <v>0</v>
      </c>
      <c r="K6" s="103" t="s">
        <v>125</v>
      </c>
      <c r="L6" s="103" t="s">
        <v>126</v>
      </c>
      <c r="M6" s="114" t="s">
        <v>114</v>
      </c>
      <c r="N6" s="115"/>
      <c r="O6" s="115"/>
      <c r="P6" s="82"/>
    </row>
    <row r="7" ht="39.75" customHeight="1">
      <c r="A7" s="107">
        <v>12.0</v>
      </c>
      <c r="B7" s="93" t="s">
        <v>108</v>
      </c>
      <c r="C7" s="120" t="s">
        <v>130</v>
      </c>
      <c r="D7" s="93" t="s">
        <v>131</v>
      </c>
      <c r="E7" s="95">
        <v>46152.0</v>
      </c>
      <c r="F7" s="95">
        <v>46152.0</v>
      </c>
      <c r="G7" s="96">
        <v>12.0</v>
      </c>
      <c r="H7" s="125">
        <v>85000.0</v>
      </c>
      <c r="I7" s="98">
        <f t="shared" si="1"/>
        <v>46517</v>
      </c>
      <c r="J7" s="96" t="b">
        <v>0</v>
      </c>
      <c r="K7" s="101" t="s">
        <v>138</v>
      </c>
      <c r="L7" s="103" t="s">
        <v>143</v>
      </c>
      <c r="M7" s="114" t="s">
        <v>114</v>
      </c>
      <c r="N7" s="115"/>
      <c r="O7" s="115"/>
      <c r="P7" s="82"/>
    </row>
    <row r="8" ht="39.75" customHeight="1">
      <c r="A8" s="90">
        <v>13.0</v>
      </c>
      <c r="B8" s="93" t="s">
        <v>113</v>
      </c>
      <c r="C8" s="120" t="s">
        <v>148</v>
      </c>
      <c r="D8" s="93" t="s">
        <v>149</v>
      </c>
      <c r="E8" s="95">
        <v>46152.0</v>
      </c>
      <c r="F8" s="95">
        <v>46235.0</v>
      </c>
      <c r="G8" s="96">
        <v>3.0</v>
      </c>
      <c r="H8" s="97">
        <v>85000.0</v>
      </c>
      <c r="I8" s="98">
        <f t="shared" si="1"/>
        <v>46327</v>
      </c>
      <c r="J8" s="99" t="b">
        <v>0</v>
      </c>
      <c r="K8" s="101" t="s">
        <v>138</v>
      </c>
      <c r="L8" s="103" t="s">
        <v>158</v>
      </c>
      <c r="M8" s="114" t="s">
        <v>114</v>
      </c>
      <c r="N8" s="115"/>
      <c r="O8" s="115"/>
      <c r="P8" s="82"/>
    </row>
    <row r="9" ht="39.75" customHeight="1">
      <c r="A9" s="107">
        <v>16.0</v>
      </c>
      <c r="B9" s="93" t="s">
        <v>129</v>
      </c>
      <c r="C9" s="120" t="s">
        <v>162</v>
      </c>
      <c r="D9" s="93" t="s">
        <v>164</v>
      </c>
      <c r="E9" s="95">
        <v>46182.0</v>
      </c>
      <c r="F9" s="95">
        <v>46174.0</v>
      </c>
      <c r="G9" s="96">
        <v>3.0</v>
      </c>
      <c r="H9" s="97">
        <v>85000.0</v>
      </c>
      <c r="I9" s="128">
        <f t="shared" si="1"/>
        <v>46266</v>
      </c>
      <c r="J9" s="129" t="b">
        <v>1</v>
      </c>
      <c r="K9" s="101" t="s">
        <v>169</v>
      </c>
      <c r="L9" s="103" t="s">
        <v>175</v>
      </c>
      <c r="M9" s="114" t="s">
        <v>114</v>
      </c>
      <c r="N9" s="130" t="s">
        <v>180</v>
      </c>
      <c r="O9" s="130" t="s">
        <v>182</v>
      </c>
      <c r="P9" s="82"/>
    </row>
    <row r="10" ht="39.75" customHeight="1">
      <c r="A10" s="90">
        <v>19.0</v>
      </c>
      <c r="B10" s="93" t="s">
        <v>147</v>
      </c>
      <c r="C10" s="120" t="s">
        <v>186</v>
      </c>
      <c r="D10" s="93" t="s">
        <v>187</v>
      </c>
      <c r="E10" s="95">
        <v>46215.0</v>
      </c>
      <c r="F10" s="95">
        <v>46216.0</v>
      </c>
      <c r="G10" s="96">
        <v>3.0</v>
      </c>
      <c r="H10" s="97">
        <v>85000.0</v>
      </c>
      <c r="I10" s="98">
        <f t="shared" si="1"/>
        <v>46308</v>
      </c>
      <c r="J10" s="99" t="b">
        <v>0</v>
      </c>
      <c r="K10" s="101" t="s">
        <v>197</v>
      </c>
      <c r="L10" s="103" t="s">
        <v>202</v>
      </c>
      <c r="M10" s="114" t="s">
        <v>114</v>
      </c>
      <c r="N10" s="115"/>
      <c r="O10" s="115"/>
      <c r="P10" s="82"/>
    </row>
    <row r="11" ht="39.75" customHeight="1">
      <c r="A11" s="107">
        <v>24.0</v>
      </c>
      <c r="B11" s="93" t="s">
        <v>178</v>
      </c>
      <c r="C11" s="120" t="s">
        <v>206</v>
      </c>
      <c r="D11" s="93" t="s">
        <v>207</v>
      </c>
      <c r="E11" s="95">
        <v>46228.0</v>
      </c>
      <c r="F11" s="95">
        <v>46235.0</v>
      </c>
      <c r="G11" s="96">
        <v>3.0</v>
      </c>
      <c r="H11" s="97">
        <v>85000.0</v>
      </c>
      <c r="I11" s="98">
        <f t="shared" si="1"/>
        <v>46327</v>
      </c>
      <c r="J11" s="99" t="b">
        <v>0</v>
      </c>
      <c r="K11" s="101" t="s">
        <v>213</v>
      </c>
      <c r="L11" s="103" t="s">
        <v>217</v>
      </c>
      <c r="M11" s="114" t="s">
        <v>114</v>
      </c>
      <c r="N11" s="115"/>
      <c r="O11" s="115"/>
      <c r="P11" s="82"/>
    </row>
    <row r="12" ht="39.75" customHeight="1">
      <c r="A12" s="90">
        <v>29.0</v>
      </c>
      <c r="B12" s="93" t="s">
        <v>215</v>
      </c>
      <c r="C12" s="120" t="s">
        <v>224</v>
      </c>
      <c r="D12" s="93" t="s">
        <v>227</v>
      </c>
      <c r="E12" s="95">
        <v>46231.0</v>
      </c>
      <c r="F12" s="95">
        <v>46234.0</v>
      </c>
      <c r="G12" s="96">
        <v>3.0</v>
      </c>
      <c r="H12" s="97">
        <v>85000.0</v>
      </c>
      <c r="I12" s="98">
        <f t="shared" si="1"/>
        <v>46326</v>
      </c>
      <c r="J12" s="99" t="b">
        <v>0</v>
      </c>
      <c r="K12" s="101" t="s">
        <v>230</v>
      </c>
      <c r="L12" s="103" t="s">
        <v>238</v>
      </c>
      <c r="M12" s="114" t="s">
        <v>114</v>
      </c>
      <c r="N12" s="115"/>
      <c r="O12" s="115"/>
      <c r="P12" s="82"/>
    </row>
    <row r="13" ht="39.75" customHeight="1">
      <c r="A13" s="132">
        <v>31.0</v>
      </c>
      <c r="B13" s="93" t="s">
        <v>242</v>
      </c>
      <c r="C13" s="120" t="s">
        <v>244</v>
      </c>
      <c r="D13" s="93" t="s">
        <v>245</v>
      </c>
      <c r="E13" s="95">
        <v>46231.0</v>
      </c>
      <c r="F13" s="95">
        <v>46231.0</v>
      </c>
      <c r="G13" s="96">
        <v>3.0</v>
      </c>
      <c r="H13" s="97">
        <v>85000.0</v>
      </c>
      <c r="I13" s="98">
        <f t="shared" si="1"/>
        <v>46323</v>
      </c>
      <c r="J13" s="99" t="b">
        <v>0</v>
      </c>
      <c r="K13" s="103" t="s">
        <v>253</v>
      </c>
      <c r="L13" s="103" t="s">
        <v>255</v>
      </c>
      <c r="M13" s="114" t="s">
        <v>114</v>
      </c>
      <c r="N13" s="115"/>
      <c r="O13" s="115"/>
      <c r="P13" s="82"/>
    </row>
    <row r="14" ht="39.75" customHeight="1">
      <c r="A14" s="118">
        <v>32.0</v>
      </c>
      <c r="B14" s="93" t="s">
        <v>234</v>
      </c>
      <c r="C14" s="120" t="s">
        <v>262</v>
      </c>
      <c r="D14" s="93" t="s">
        <v>264</v>
      </c>
      <c r="E14" s="95">
        <v>46234.0</v>
      </c>
      <c r="F14" s="95">
        <v>46234.0</v>
      </c>
      <c r="G14" s="96">
        <v>3.0</v>
      </c>
      <c r="H14" s="97">
        <v>85000.0</v>
      </c>
      <c r="I14" s="98">
        <f t="shared" si="1"/>
        <v>46326</v>
      </c>
      <c r="J14" s="99" t="b">
        <v>0</v>
      </c>
      <c r="K14" s="101" t="s">
        <v>266</v>
      </c>
      <c r="L14" s="103" t="s">
        <v>269</v>
      </c>
      <c r="M14" s="114" t="s">
        <v>114</v>
      </c>
      <c r="N14" s="115"/>
      <c r="O14" s="115"/>
      <c r="P14" s="82"/>
    </row>
    <row r="15" ht="39.75" customHeight="1">
      <c r="A15" s="132">
        <v>33.0</v>
      </c>
      <c r="B15" s="93" t="s">
        <v>239</v>
      </c>
      <c r="C15" s="120" t="s">
        <v>274</v>
      </c>
      <c r="D15" s="93" t="s">
        <v>275</v>
      </c>
      <c r="E15" s="95">
        <v>46234.0</v>
      </c>
      <c r="F15" s="95">
        <v>46234.0</v>
      </c>
      <c r="G15" s="96">
        <v>3.0</v>
      </c>
      <c r="H15" s="97">
        <v>85000.0</v>
      </c>
      <c r="I15" s="98">
        <f t="shared" si="1"/>
        <v>46326</v>
      </c>
      <c r="J15" s="99" t="b">
        <v>0</v>
      </c>
      <c r="K15" s="101" t="s">
        <v>282</v>
      </c>
      <c r="L15" s="103" t="s">
        <v>284</v>
      </c>
      <c r="M15" s="114" t="s">
        <v>114</v>
      </c>
      <c r="N15" s="115"/>
      <c r="O15" s="115"/>
      <c r="P15" s="82"/>
    </row>
    <row r="16" ht="39.75" customHeight="1">
      <c r="A16" s="90">
        <v>39.0</v>
      </c>
      <c r="B16" s="93" t="s">
        <v>276</v>
      </c>
      <c r="C16" s="92" t="s">
        <v>288</v>
      </c>
      <c r="D16" s="111" t="s">
        <v>98</v>
      </c>
      <c r="E16" s="113">
        <v>45901.0</v>
      </c>
      <c r="F16" s="113">
        <v>46113.0</v>
      </c>
      <c r="G16" s="99">
        <v>6.0</v>
      </c>
      <c r="H16" s="125">
        <v>100000.0</v>
      </c>
      <c r="I16" s="98">
        <f t="shared" si="1"/>
        <v>46296</v>
      </c>
      <c r="J16" s="96" t="b">
        <v>0</v>
      </c>
      <c r="K16" s="101" t="s">
        <v>99</v>
      </c>
      <c r="L16" s="103" t="s">
        <v>64</v>
      </c>
      <c r="M16" s="114" t="s">
        <v>114</v>
      </c>
      <c r="N16" s="115"/>
      <c r="O16" s="115"/>
      <c r="P16" s="82"/>
    </row>
    <row r="17" ht="39.75" customHeight="1">
      <c r="A17" s="107">
        <v>40.0</v>
      </c>
      <c r="B17" s="93" t="s">
        <v>283</v>
      </c>
      <c r="C17" s="92" t="s">
        <v>297</v>
      </c>
      <c r="D17" s="111" t="s">
        <v>64</v>
      </c>
      <c r="E17" s="113">
        <v>45566.0</v>
      </c>
      <c r="F17" s="113">
        <v>46113.0</v>
      </c>
      <c r="G17" s="99">
        <v>6.0</v>
      </c>
      <c r="H17" s="125">
        <v>85000.0</v>
      </c>
      <c r="I17" s="98">
        <f t="shared" si="1"/>
        <v>46296</v>
      </c>
      <c r="J17" s="96" t="b">
        <v>0</v>
      </c>
      <c r="K17" s="103" t="s">
        <v>64</v>
      </c>
      <c r="L17" s="103" t="s">
        <v>64</v>
      </c>
      <c r="M17" s="114" t="s">
        <v>114</v>
      </c>
      <c r="N17" s="115"/>
      <c r="O17" s="115"/>
      <c r="P17" s="82"/>
    </row>
    <row r="18" ht="39.75" customHeight="1">
      <c r="A18" s="137">
        <v>43.0</v>
      </c>
      <c r="B18" s="139" t="s">
        <v>302</v>
      </c>
      <c r="C18" s="140" t="s">
        <v>304</v>
      </c>
      <c r="D18" s="141" t="s">
        <v>305</v>
      </c>
      <c r="E18" s="142">
        <v>46227.0</v>
      </c>
      <c r="F18" s="142">
        <v>46227.0</v>
      </c>
      <c r="G18" s="144">
        <v>3.0</v>
      </c>
      <c r="H18" s="145">
        <v>85000.0</v>
      </c>
      <c r="I18" s="146">
        <f t="shared" si="1"/>
        <v>46319</v>
      </c>
      <c r="J18" s="147" t="b">
        <v>0</v>
      </c>
      <c r="K18" s="151" t="s">
        <v>308</v>
      </c>
      <c r="L18" s="153" t="s">
        <v>311</v>
      </c>
      <c r="M18" s="114" t="s">
        <v>114</v>
      </c>
      <c r="N18" s="115"/>
      <c r="O18" s="115"/>
      <c r="P18" s="82"/>
    </row>
    <row r="19" ht="39.75" customHeight="1">
      <c r="A19" s="107">
        <v>44.0</v>
      </c>
      <c r="B19" s="139" t="s">
        <v>300</v>
      </c>
      <c r="C19" s="140" t="s">
        <v>316</v>
      </c>
      <c r="D19" s="139" t="s">
        <v>318</v>
      </c>
      <c r="E19" s="142">
        <v>46256.0</v>
      </c>
      <c r="F19" s="142">
        <v>46256.0</v>
      </c>
      <c r="G19" s="144">
        <v>1.0</v>
      </c>
      <c r="H19" s="145">
        <v>150000.0</v>
      </c>
      <c r="I19" s="146">
        <f t="shared" si="1"/>
        <v>46287</v>
      </c>
      <c r="J19" s="147" t="b">
        <v>0</v>
      </c>
      <c r="K19" s="151" t="s">
        <v>324</v>
      </c>
      <c r="L19" s="153" t="s">
        <v>330</v>
      </c>
      <c r="M19" s="114" t="s">
        <v>114</v>
      </c>
      <c r="N19" s="115"/>
      <c r="O19" s="115"/>
      <c r="P19" s="82"/>
    </row>
    <row r="20" ht="39.75" customHeight="1">
      <c r="A20" s="118">
        <v>46.0</v>
      </c>
      <c r="B20" s="139" t="s">
        <v>307</v>
      </c>
      <c r="C20" s="140" t="s">
        <v>336</v>
      </c>
      <c r="D20" s="139" t="s">
        <v>338</v>
      </c>
      <c r="E20" s="142">
        <v>46256.0</v>
      </c>
      <c r="F20" s="142">
        <v>46258.0</v>
      </c>
      <c r="G20" s="144">
        <v>3.0</v>
      </c>
      <c r="H20" s="145">
        <v>150000.0</v>
      </c>
      <c r="I20" s="146">
        <f t="shared" si="1"/>
        <v>46350</v>
      </c>
      <c r="J20" s="147" t="b">
        <v>0</v>
      </c>
      <c r="K20" s="151" t="s">
        <v>342</v>
      </c>
      <c r="L20" s="153" t="s">
        <v>345</v>
      </c>
      <c r="M20" s="114" t="s">
        <v>114</v>
      </c>
      <c r="N20" s="115"/>
      <c r="O20" s="115"/>
      <c r="P20" s="82"/>
    </row>
    <row r="21" ht="39.75" customHeight="1">
      <c r="A21" s="164">
        <v>47.0</v>
      </c>
      <c r="B21" s="166" t="s">
        <v>309</v>
      </c>
      <c r="C21" s="169" t="s">
        <v>350</v>
      </c>
      <c r="D21" s="166" t="s">
        <v>351</v>
      </c>
      <c r="E21" s="171">
        <v>46234.0</v>
      </c>
      <c r="F21" s="171">
        <v>46234.0</v>
      </c>
      <c r="G21" s="172">
        <v>3.0</v>
      </c>
      <c r="H21" s="175">
        <v>500000.0</v>
      </c>
      <c r="I21" s="176">
        <f t="shared" si="1"/>
        <v>46326</v>
      </c>
      <c r="J21" s="172" t="b">
        <v>0</v>
      </c>
      <c r="K21" s="183" t="s">
        <v>364</v>
      </c>
      <c r="L21" s="166" t="s">
        <v>64</v>
      </c>
      <c r="M21" s="114" t="s">
        <v>114</v>
      </c>
      <c r="N21" s="115"/>
      <c r="O21" s="115"/>
      <c r="P21" s="82"/>
    </row>
    <row r="22" ht="39.75" customHeight="1">
      <c r="A22" s="118">
        <v>48.0</v>
      </c>
      <c r="B22" s="166" t="s">
        <v>312</v>
      </c>
      <c r="C22" s="169" t="s">
        <v>372</v>
      </c>
      <c r="D22" s="166" t="s">
        <v>373</v>
      </c>
      <c r="E22" s="171">
        <v>46235.0</v>
      </c>
      <c r="F22" s="171">
        <v>46235.0</v>
      </c>
      <c r="G22" s="172">
        <v>3.0</v>
      </c>
      <c r="H22" s="175">
        <v>255000.0</v>
      </c>
      <c r="I22" s="176">
        <f t="shared" si="1"/>
        <v>46327</v>
      </c>
      <c r="J22" s="172" t="b">
        <v>0</v>
      </c>
      <c r="K22" s="183" t="s">
        <v>374</v>
      </c>
      <c r="L22" s="166" t="s">
        <v>64</v>
      </c>
      <c r="M22" s="114" t="s">
        <v>114</v>
      </c>
      <c r="N22" s="115"/>
      <c r="O22" s="115"/>
      <c r="P22" s="82"/>
    </row>
    <row r="23" ht="39.75" customHeight="1">
      <c r="A23" s="107">
        <v>34.0</v>
      </c>
      <c r="B23" s="93" t="s">
        <v>247</v>
      </c>
      <c r="C23" s="120" t="s">
        <v>383</v>
      </c>
      <c r="D23" s="93" t="s">
        <v>385</v>
      </c>
      <c r="E23" s="95">
        <v>46234.0</v>
      </c>
      <c r="F23" s="95">
        <v>46234.0</v>
      </c>
      <c r="G23" s="96">
        <v>3.0</v>
      </c>
      <c r="H23" s="97">
        <v>85000.0</v>
      </c>
      <c r="I23" s="98">
        <f t="shared" si="1"/>
        <v>46326</v>
      </c>
      <c r="J23" s="99" t="b">
        <v>0</v>
      </c>
      <c r="K23" s="101" t="s">
        <v>387</v>
      </c>
      <c r="L23" s="103" t="s">
        <v>391</v>
      </c>
      <c r="M23" s="114" t="s">
        <v>393</v>
      </c>
      <c r="N23" s="115"/>
      <c r="O23" s="115"/>
      <c r="P23" s="82"/>
    </row>
    <row r="24" ht="39.75" customHeight="1">
      <c r="A24" s="90">
        <v>3.0</v>
      </c>
      <c r="B24" s="111" t="s">
        <v>57</v>
      </c>
      <c r="C24" s="92" t="s">
        <v>105</v>
      </c>
      <c r="D24" s="111" t="s">
        <v>106</v>
      </c>
      <c r="E24" s="113">
        <v>45910.0</v>
      </c>
      <c r="F24" s="113">
        <v>46122.0</v>
      </c>
      <c r="G24" s="99">
        <v>6.0</v>
      </c>
      <c r="H24" s="125">
        <v>85000.0</v>
      </c>
      <c r="I24" s="98">
        <f t="shared" si="1"/>
        <v>46305</v>
      </c>
      <c r="J24" s="192" t="b">
        <v>0</v>
      </c>
      <c r="K24" s="101" t="s">
        <v>404</v>
      </c>
      <c r="L24" s="103" t="s">
        <v>104</v>
      </c>
      <c r="M24" s="114" t="s">
        <v>408</v>
      </c>
      <c r="N24" s="115"/>
      <c r="O24" s="115"/>
      <c r="P24" s="82"/>
    </row>
    <row r="25" ht="39.75" customHeight="1">
      <c r="A25" s="107">
        <v>6.0</v>
      </c>
      <c r="B25" s="93" t="s">
        <v>75</v>
      </c>
      <c r="C25" s="120" t="s">
        <v>165</v>
      </c>
      <c r="D25" s="93" t="s">
        <v>166</v>
      </c>
      <c r="E25" s="95">
        <v>45992.0</v>
      </c>
      <c r="F25" s="95">
        <v>46235.0</v>
      </c>
      <c r="G25" s="96">
        <v>3.0</v>
      </c>
      <c r="H25" s="97">
        <v>85000.0</v>
      </c>
      <c r="I25" s="98">
        <f t="shared" si="1"/>
        <v>46327</v>
      </c>
      <c r="J25" s="96" t="b">
        <v>0</v>
      </c>
      <c r="K25" s="101" t="s">
        <v>167</v>
      </c>
      <c r="L25" s="103" t="s">
        <v>163</v>
      </c>
      <c r="M25" s="114" t="s">
        <v>408</v>
      </c>
      <c r="N25" s="115"/>
      <c r="O25" s="115"/>
      <c r="P25" s="82"/>
    </row>
    <row r="26" ht="39.75" customHeight="1">
      <c r="A26" s="90">
        <v>9.0</v>
      </c>
      <c r="B26" s="93" t="s">
        <v>92</v>
      </c>
      <c r="C26" s="120" t="s">
        <v>211</v>
      </c>
      <c r="D26" s="93" t="s">
        <v>212</v>
      </c>
      <c r="E26" s="95">
        <v>46135.0</v>
      </c>
      <c r="F26" s="95">
        <v>46262.0</v>
      </c>
      <c r="G26" s="96">
        <v>3.0</v>
      </c>
      <c r="H26" s="125">
        <v>85000.0</v>
      </c>
      <c r="I26" s="98">
        <f t="shared" si="1"/>
        <v>46354</v>
      </c>
      <c r="J26" s="96" t="b">
        <v>0</v>
      </c>
      <c r="K26" s="101" t="s">
        <v>214</v>
      </c>
      <c r="L26" s="103" t="s">
        <v>210</v>
      </c>
      <c r="M26" s="114" t="s">
        <v>408</v>
      </c>
      <c r="N26" s="115"/>
      <c r="O26" s="115"/>
      <c r="P26" s="82"/>
    </row>
    <row r="27" ht="39.75" customHeight="1">
      <c r="A27" s="132">
        <v>15.0</v>
      </c>
      <c r="B27" s="93" t="s">
        <v>437</v>
      </c>
      <c r="C27" s="120" t="s">
        <v>347</v>
      </c>
      <c r="D27" s="93" t="s">
        <v>348</v>
      </c>
      <c r="E27" s="95">
        <v>46164.0</v>
      </c>
      <c r="F27" s="95">
        <v>46174.0</v>
      </c>
      <c r="G27" s="96">
        <v>3.0</v>
      </c>
      <c r="H27" s="97">
        <v>85000.0</v>
      </c>
      <c r="I27" s="128">
        <f t="shared" si="1"/>
        <v>46266</v>
      </c>
      <c r="J27" s="129" t="b">
        <v>1</v>
      </c>
      <c r="K27" s="101" t="s">
        <v>349</v>
      </c>
      <c r="L27" s="103" t="s">
        <v>346</v>
      </c>
      <c r="M27" s="114" t="s">
        <v>408</v>
      </c>
      <c r="N27" s="130" t="s">
        <v>180</v>
      </c>
      <c r="O27" s="130" t="s">
        <v>447</v>
      </c>
      <c r="P27" s="82"/>
    </row>
    <row r="28" ht="39.75" customHeight="1">
      <c r="A28" s="90">
        <v>17.0</v>
      </c>
      <c r="B28" s="93" t="s">
        <v>136</v>
      </c>
      <c r="C28" s="120" t="s">
        <v>442</v>
      </c>
      <c r="D28" s="93" t="s">
        <v>443</v>
      </c>
      <c r="E28" s="95">
        <v>46202.0</v>
      </c>
      <c r="F28" s="95">
        <v>46202.0</v>
      </c>
      <c r="G28" s="96">
        <v>3.0</v>
      </c>
      <c r="H28" s="97">
        <v>85000.0</v>
      </c>
      <c r="I28" s="98">
        <f t="shared" si="1"/>
        <v>46294</v>
      </c>
      <c r="J28" s="99" t="b">
        <v>0</v>
      </c>
      <c r="K28" s="101" t="s">
        <v>444</v>
      </c>
      <c r="L28" s="103" t="s">
        <v>441</v>
      </c>
      <c r="M28" s="114" t="s">
        <v>408</v>
      </c>
      <c r="N28" s="115"/>
      <c r="O28" s="115"/>
      <c r="P28" s="82"/>
    </row>
    <row r="29" ht="39.75" customHeight="1">
      <c r="A29" s="107">
        <v>18.0</v>
      </c>
      <c r="B29" s="93" t="s">
        <v>140</v>
      </c>
      <c r="C29" s="120" t="s">
        <v>455</v>
      </c>
      <c r="D29" s="93" t="s">
        <v>456</v>
      </c>
      <c r="E29" s="95">
        <v>46204.0</v>
      </c>
      <c r="F29" s="95">
        <v>46204.0</v>
      </c>
      <c r="G29" s="96">
        <v>3.0</v>
      </c>
      <c r="H29" s="97">
        <v>85000.0</v>
      </c>
      <c r="I29" s="98">
        <f t="shared" si="1"/>
        <v>46296</v>
      </c>
      <c r="J29" s="99" t="b">
        <v>0</v>
      </c>
      <c r="K29" s="101" t="s">
        <v>457</v>
      </c>
      <c r="L29" s="103" t="s">
        <v>454</v>
      </c>
      <c r="M29" s="114" t="s">
        <v>408</v>
      </c>
      <c r="N29" s="115"/>
      <c r="O29" s="115"/>
      <c r="P29" s="82"/>
    </row>
    <row r="30" ht="39.75" customHeight="1">
      <c r="A30" s="118">
        <v>22.0</v>
      </c>
      <c r="B30" s="93" t="s">
        <v>168</v>
      </c>
      <c r="C30" s="120" t="s">
        <v>470</v>
      </c>
      <c r="D30" s="93" t="s">
        <v>472</v>
      </c>
      <c r="E30" s="95">
        <v>46227.0</v>
      </c>
      <c r="F30" s="95">
        <v>46235.0</v>
      </c>
      <c r="G30" s="96">
        <v>3.0</v>
      </c>
      <c r="H30" s="97">
        <v>85000.0</v>
      </c>
      <c r="I30" s="98">
        <f t="shared" si="1"/>
        <v>46327</v>
      </c>
      <c r="J30" s="99" t="b">
        <v>0</v>
      </c>
      <c r="K30" s="101" t="s">
        <v>476</v>
      </c>
      <c r="L30" s="103" t="s">
        <v>480</v>
      </c>
      <c r="M30" s="114" t="s">
        <v>408</v>
      </c>
      <c r="N30" s="115"/>
      <c r="O30" s="115"/>
      <c r="P30" s="82"/>
    </row>
    <row r="31" ht="39.75" customHeight="1">
      <c r="A31" s="107">
        <v>28.0</v>
      </c>
      <c r="B31" s="93" t="s">
        <v>481</v>
      </c>
      <c r="C31" s="120" t="s">
        <v>482</v>
      </c>
      <c r="D31" s="93" t="s">
        <v>483</v>
      </c>
      <c r="E31" s="95">
        <v>46230.0</v>
      </c>
      <c r="F31" s="95">
        <v>46235.0</v>
      </c>
      <c r="G31" s="96">
        <v>3.0</v>
      </c>
      <c r="H31" s="97">
        <v>50000.0</v>
      </c>
      <c r="I31" s="98">
        <f t="shared" si="1"/>
        <v>46327</v>
      </c>
      <c r="J31" s="99" t="b">
        <v>0</v>
      </c>
      <c r="K31" s="101" t="s">
        <v>486</v>
      </c>
      <c r="L31" s="103" t="s">
        <v>488</v>
      </c>
      <c r="M31" s="114" t="s">
        <v>408</v>
      </c>
      <c r="N31" s="115"/>
      <c r="O31" s="115"/>
      <c r="P31" s="82"/>
    </row>
    <row r="32" ht="39.75" customHeight="1">
      <c r="A32" s="90">
        <v>35.0</v>
      </c>
      <c r="B32" s="93" t="s">
        <v>257</v>
      </c>
      <c r="C32" s="120" t="s">
        <v>494</v>
      </c>
      <c r="D32" s="93" t="s">
        <v>496</v>
      </c>
      <c r="E32" s="95">
        <v>46234.0</v>
      </c>
      <c r="F32" s="95">
        <v>46234.0</v>
      </c>
      <c r="G32" s="96">
        <v>3.0</v>
      </c>
      <c r="H32" s="97">
        <v>115000.0</v>
      </c>
      <c r="I32" s="98">
        <f t="shared" si="1"/>
        <v>46326</v>
      </c>
      <c r="J32" s="99" t="b">
        <v>0</v>
      </c>
      <c r="K32" s="101" t="s">
        <v>500</v>
      </c>
      <c r="L32" s="103" t="s">
        <v>502</v>
      </c>
      <c r="M32" s="114" t="s">
        <v>408</v>
      </c>
      <c r="N32" s="115"/>
      <c r="O32" s="115"/>
      <c r="P32" s="82"/>
    </row>
    <row r="33" ht="39.75" customHeight="1">
      <c r="A33" s="107">
        <v>36.0</v>
      </c>
      <c r="B33" s="93" t="s">
        <v>265</v>
      </c>
      <c r="C33" s="92" t="s">
        <v>507</v>
      </c>
      <c r="D33" s="111" t="s">
        <v>508</v>
      </c>
      <c r="E33" s="113">
        <v>45505.0</v>
      </c>
      <c r="F33" s="113">
        <v>46204.0</v>
      </c>
      <c r="G33" s="99">
        <v>3.0</v>
      </c>
      <c r="H33" s="97">
        <v>85000.0</v>
      </c>
      <c r="I33" s="98">
        <f t="shared" si="1"/>
        <v>46296</v>
      </c>
      <c r="J33" s="99" t="b">
        <v>0</v>
      </c>
      <c r="K33" s="101" t="s">
        <v>514</v>
      </c>
      <c r="L33" s="103" t="s">
        <v>64</v>
      </c>
      <c r="M33" s="114" t="s">
        <v>408</v>
      </c>
      <c r="N33" s="115"/>
      <c r="O33" s="115"/>
      <c r="P33" s="82"/>
    </row>
    <row r="34" ht="39.75" customHeight="1">
      <c r="A34" s="118">
        <v>4.0</v>
      </c>
      <c r="B34" s="111" t="s">
        <v>521</v>
      </c>
      <c r="C34" s="92" t="s">
        <v>105</v>
      </c>
      <c r="D34" s="111" t="s">
        <v>106</v>
      </c>
      <c r="E34" s="113">
        <v>45910.0</v>
      </c>
      <c r="F34" s="113">
        <v>46122.0</v>
      </c>
      <c r="G34" s="99">
        <v>6.0</v>
      </c>
      <c r="H34" s="125">
        <v>85000.0</v>
      </c>
      <c r="I34" s="98">
        <f t="shared" si="1"/>
        <v>46305</v>
      </c>
      <c r="J34" s="96" t="b">
        <v>0</v>
      </c>
      <c r="K34" s="101" t="s">
        <v>107</v>
      </c>
      <c r="L34" s="103" t="s">
        <v>104</v>
      </c>
      <c r="M34" s="114" t="s">
        <v>529</v>
      </c>
      <c r="N34" s="115"/>
      <c r="O34" s="115"/>
      <c r="P34" s="82"/>
    </row>
    <row r="35" ht="39.75" customHeight="1">
      <c r="A35" s="132">
        <v>5.0</v>
      </c>
      <c r="B35" s="93" t="s">
        <v>68</v>
      </c>
      <c r="C35" s="120" t="s">
        <v>121</v>
      </c>
      <c r="D35" s="93" t="s">
        <v>534</v>
      </c>
      <c r="E35" s="95">
        <v>45931.0</v>
      </c>
      <c r="F35" s="95">
        <v>46235.0</v>
      </c>
      <c r="G35" s="96">
        <v>3.0</v>
      </c>
      <c r="H35" s="97">
        <v>85000.0</v>
      </c>
      <c r="I35" s="98">
        <f t="shared" si="1"/>
        <v>46327</v>
      </c>
      <c r="J35" s="99" t="b">
        <v>0</v>
      </c>
      <c r="K35" s="101" t="s">
        <v>123</v>
      </c>
      <c r="L35" s="103" t="s">
        <v>120</v>
      </c>
      <c r="M35" s="114" t="s">
        <v>529</v>
      </c>
      <c r="N35" s="115"/>
      <c r="O35" s="115"/>
      <c r="P35" s="82"/>
    </row>
    <row r="36" ht="39.75" customHeight="1">
      <c r="A36" s="90">
        <v>7.0</v>
      </c>
      <c r="B36" s="93" t="s">
        <v>79</v>
      </c>
      <c r="C36" s="120" t="s">
        <v>177</v>
      </c>
      <c r="D36" s="93" t="s">
        <v>179</v>
      </c>
      <c r="E36" s="95">
        <v>46022.0</v>
      </c>
      <c r="F36" s="193">
        <v>46142.0</v>
      </c>
      <c r="G36" s="96">
        <v>9.0</v>
      </c>
      <c r="H36" s="125">
        <v>85000.0</v>
      </c>
      <c r="I36" s="98">
        <f t="shared" si="1"/>
        <v>46417</v>
      </c>
      <c r="J36" s="96" t="b">
        <v>0</v>
      </c>
      <c r="K36" s="103" t="s">
        <v>181</v>
      </c>
      <c r="L36" s="103" t="s">
        <v>176</v>
      </c>
      <c r="M36" s="114" t="s">
        <v>529</v>
      </c>
      <c r="N36" s="115"/>
      <c r="O36" s="115"/>
      <c r="P36" s="82"/>
    </row>
    <row r="37" ht="38.25" customHeight="1">
      <c r="A37" s="107">
        <v>8.0</v>
      </c>
      <c r="B37" s="93" t="s">
        <v>87</v>
      </c>
      <c r="C37" s="120" t="s">
        <v>199</v>
      </c>
      <c r="D37" s="93" t="s">
        <v>200</v>
      </c>
      <c r="E37" s="95">
        <v>46135.0</v>
      </c>
      <c r="F37" s="95">
        <v>46165.0</v>
      </c>
      <c r="G37" s="96">
        <v>6.0</v>
      </c>
      <c r="H37" s="125">
        <v>85000.0</v>
      </c>
      <c r="I37" s="98">
        <f t="shared" si="1"/>
        <v>46349</v>
      </c>
      <c r="J37" s="96" t="b">
        <v>0</v>
      </c>
      <c r="K37" s="194" t="s">
        <v>201</v>
      </c>
      <c r="L37" s="103" t="s">
        <v>198</v>
      </c>
      <c r="M37" s="114" t="s">
        <v>529</v>
      </c>
      <c r="N37" s="115"/>
      <c r="O37" s="115"/>
      <c r="P37" s="82"/>
    </row>
    <row r="38" ht="38.25" customHeight="1">
      <c r="A38" s="118">
        <v>14.0</v>
      </c>
      <c r="B38" s="93" t="s">
        <v>118</v>
      </c>
      <c r="C38" s="120" t="s">
        <v>314</v>
      </c>
      <c r="D38" s="93" t="s">
        <v>315</v>
      </c>
      <c r="E38" s="95">
        <v>46161.0</v>
      </c>
      <c r="F38" s="95">
        <v>46235.0</v>
      </c>
      <c r="G38" s="96">
        <v>3.0</v>
      </c>
      <c r="H38" s="97">
        <v>85000.0</v>
      </c>
      <c r="I38" s="98">
        <f t="shared" si="1"/>
        <v>46327</v>
      </c>
      <c r="J38" s="99" t="b">
        <v>0</v>
      </c>
      <c r="K38" s="194" t="s">
        <v>317</v>
      </c>
      <c r="L38" s="103" t="s">
        <v>313</v>
      </c>
      <c r="M38" s="114" t="s">
        <v>529</v>
      </c>
      <c r="N38" s="115"/>
      <c r="O38" s="115"/>
      <c r="P38" s="82"/>
    </row>
    <row r="39" ht="38.25" customHeight="1">
      <c r="A39" s="107">
        <v>20.0</v>
      </c>
      <c r="B39" s="93" t="s">
        <v>153</v>
      </c>
      <c r="C39" s="120" t="s">
        <v>552</v>
      </c>
      <c r="D39" s="93" t="s">
        <v>553</v>
      </c>
      <c r="E39" s="95">
        <v>46227.0</v>
      </c>
      <c r="F39" s="95">
        <v>46227.0</v>
      </c>
      <c r="G39" s="96">
        <v>3.0</v>
      </c>
      <c r="H39" s="97">
        <v>85000.0</v>
      </c>
      <c r="I39" s="98">
        <f t="shared" si="1"/>
        <v>46319</v>
      </c>
      <c r="J39" s="99" t="b">
        <v>0</v>
      </c>
      <c r="K39" s="101" t="s">
        <v>554</v>
      </c>
      <c r="L39" s="103" t="s">
        <v>551</v>
      </c>
      <c r="M39" s="114" t="s">
        <v>529</v>
      </c>
      <c r="N39" s="115"/>
      <c r="O39" s="115"/>
      <c r="P39" s="82"/>
    </row>
    <row r="40" ht="38.25" customHeight="1">
      <c r="A40" s="90">
        <v>21.0</v>
      </c>
      <c r="B40" s="93" t="s">
        <v>159</v>
      </c>
      <c r="C40" s="120" t="s">
        <v>562</v>
      </c>
      <c r="D40" s="93" t="s">
        <v>563</v>
      </c>
      <c r="E40" s="95">
        <v>46227.0</v>
      </c>
      <c r="F40" s="95">
        <v>46227.0</v>
      </c>
      <c r="G40" s="96">
        <v>3.0</v>
      </c>
      <c r="H40" s="97">
        <v>85000.0</v>
      </c>
      <c r="I40" s="98">
        <f t="shared" si="1"/>
        <v>46319</v>
      </c>
      <c r="J40" s="99" t="b">
        <v>0</v>
      </c>
      <c r="K40" s="101" t="s">
        <v>564</v>
      </c>
      <c r="L40" s="103" t="s">
        <v>561</v>
      </c>
      <c r="M40" s="114" t="s">
        <v>529</v>
      </c>
      <c r="N40" s="115"/>
      <c r="O40" s="115"/>
      <c r="P40" s="82"/>
    </row>
    <row r="41" ht="38.25" customHeight="1">
      <c r="A41" s="132">
        <v>23.0</v>
      </c>
      <c r="B41" s="93" t="s">
        <v>171</v>
      </c>
      <c r="C41" s="120" t="s">
        <v>568</v>
      </c>
      <c r="D41" s="93" t="s">
        <v>569</v>
      </c>
      <c r="E41" s="95">
        <v>46227.0</v>
      </c>
      <c r="F41" s="95">
        <v>46235.0</v>
      </c>
      <c r="G41" s="96">
        <v>3.0</v>
      </c>
      <c r="H41" s="97">
        <v>85000.0</v>
      </c>
      <c r="I41" s="98">
        <f t="shared" si="1"/>
        <v>46327</v>
      </c>
      <c r="J41" s="99" t="b">
        <v>0</v>
      </c>
      <c r="K41" s="101" t="s">
        <v>570</v>
      </c>
      <c r="L41" s="103" t="s">
        <v>571</v>
      </c>
      <c r="M41" s="114" t="s">
        <v>529</v>
      </c>
      <c r="N41" s="115"/>
      <c r="O41" s="115"/>
      <c r="P41" s="82"/>
    </row>
    <row r="42" ht="38.25" customHeight="1">
      <c r="A42" s="90">
        <v>25.0</v>
      </c>
      <c r="B42" s="93" t="s">
        <v>572</v>
      </c>
      <c r="C42" s="120" t="s">
        <v>573</v>
      </c>
      <c r="D42" s="195" t="s">
        <v>574</v>
      </c>
      <c r="E42" s="95">
        <v>46229.0</v>
      </c>
      <c r="F42" s="95">
        <v>46235.0</v>
      </c>
      <c r="G42" s="96">
        <v>3.0</v>
      </c>
      <c r="H42" s="97">
        <v>85000.0</v>
      </c>
      <c r="I42" s="98">
        <f t="shared" si="1"/>
        <v>46327</v>
      </c>
      <c r="J42" s="99" t="b">
        <v>0</v>
      </c>
      <c r="K42" s="101" t="s">
        <v>575</v>
      </c>
      <c r="L42" s="103" t="s">
        <v>576</v>
      </c>
      <c r="M42" s="114" t="s">
        <v>529</v>
      </c>
      <c r="N42" s="115"/>
      <c r="O42" s="115"/>
    </row>
    <row r="43" ht="38.25" customHeight="1">
      <c r="A43" s="107">
        <v>26.0</v>
      </c>
      <c r="B43" s="55" t="s">
        <v>577</v>
      </c>
      <c r="C43" s="120" t="s">
        <v>578</v>
      </c>
      <c r="D43" s="93" t="s">
        <v>579</v>
      </c>
      <c r="E43" s="95">
        <v>46230.0</v>
      </c>
      <c r="F43" s="95">
        <v>46235.0</v>
      </c>
      <c r="G43" s="96">
        <v>1.0</v>
      </c>
      <c r="H43" s="125">
        <v>0.0</v>
      </c>
      <c r="I43" s="128">
        <f t="shared" si="1"/>
        <v>46266</v>
      </c>
      <c r="J43" s="99" t="b">
        <v>0</v>
      </c>
      <c r="K43" s="103" t="s">
        <v>580</v>
      </c>
      <c r="L43" s="103" t="s">
        <v>581</v>
      </c>
      <c r="M43" s="114" t="s">
        <v>529</v>
      </c>
      <c r="N43" s="130" t="s">
        <v>180</v>
      </c>
      <c r="O43" s="130" t="s">
        <v>582</v>
      </c>
    </row>
    <row r="44" ht="38.25" customHeight="1">
      <c r="A44" s="90">
        <v>27.0</v>
      </c>
      <c r="B44" s="93" t="s">
        <v>203</v>
      </c>
      <c r="C44" s="120" t="s">
        <v>583</v>
      </c>
      <c r="D44" s="93" t="s">
        <v>584</v>
      </c>
      <c r="E44" s="95">
        <v>46230.0</v>
      </c>
      <c r="F44" s="95">
        <v>46235.0</v>
      </c>
      <c r="G44" s="96">
        <v>1.0</v>
      </c>
      <c r="H44" s="125">
        <v>115000.0</v>
      </c>
      <c r="I44" s="128">
        <f t="shared" si="1"/>
        <v>46266</v>
      </c>
      <c r="J44" s="99" t="b">
        <v>0</v>
      </c>
      <c r="K44" s="101" t="s">
        <v>585</v>
      </c>
      <c r="L44" s="103" t="s">
        <v>586</v>
      </c>
      <c r="M44" s="114" t="s">
        <v>529</v>
      </c>
      <c r="N44" s="130" t="s">
        <v>180</v>
      </c>
      <c r="O44" s="130" t="s">
        <v>582</v>
      </c>
    </row>
    <row r="45" ht="38.25" customHeight="1">
      <c r="A45" s="107">
        <v>30.0</v>
      </c>
      <c r="B45" s="93" t="s">
        <v>220</v>
      </c>
      <c r="C45" s="120" t="s">
        <v>590</v>
      </c>
      <c r="D45" s="93" t="s">
        <v>591</v>
      </c>
      <c r="E45" s="95">
        <v>46231.0</v>
      </c>
      <c r="F45" s="95">
        <v>46231.0</v>
      </c>
      <c r="G45" s="96">
        <v>6.0</v>
      </c>
      <c r="H45" s="125">
        <v>85000.0</v>
      </c>
      <c r="I45" s="98">
        <f t="shared" si="1"/>
        <v>46415</v>
      </c>
      <c r="J45" s="99" t="b">
        <v>0</v>
      </c>
      <c r="K45" s="101" t="s">
        <v>597</v>
      </c>
      <c r="L45" s="103" t="s">
        <v>601</v>
      </c>
      <c r="M45" s="114" t="s">
        <v>529</v>
      </c>
      <c r="N45" s="115"/>
      <c r="O45" s="115"/>
    </row>
    <row r="46" ht="38.25" customHeight="1">
      <c r="A46" s="90">
        <v>37.0</v>
      </c>
      <c r="B46" s="93" t="s">
        <v>267</v>
      </c>
      <c r="C46" s="92" t="s">
        <v>606</v>
      </c>
      <c r="D46" s="111" t="s">
        <v>64</v>
      </c>
      <c r="E46" s="113">
        <v>46143.0</v>
      </c>
      <c r="F46" s="113">
        <v>46143.0</v>
      </c>
      <c r="G46" s="99">
        <v>0.0</v>
      </c>
      <c r="H46" s="97">
        <v>0.0</v>
      </c>
      <c r="I46" s="96">
        <v>0.0</v>
      </c>
      <c r="J46" s="99" t="b">
        <v>0</v>
      </c>
      <c r="K46" s="103" t="s">
        <v>64</v>
      </c>
      <c r="L46" s="103" t="s">
        <v>64</v>
      </c>
      <c r="M46" s="114" t="s">
        <v>529</v>
      </c>
      <c r="N46" s="115"/>
      <c r="O46" s="115"/>
    </row>
    <row r="47" ht="38.25" customHeight="1">
      <c r="A47" s="107">
        <v>38.0</v>
      </c>
      <c r="B47" s="93" t="s">
        <v>270</v>
      </c>
      <c r="C47" s="92" t="s">
        <v>610</v>
      </c>
      <c r="D47" s="111" t="s">
        <v>611</v>
      </c>
      <c r="E47" s="113">
        <v>46174.0</v>
      </c>
      <c r="F47" s="196">
        <v>46202.0</v>
      </c>
      <c r="G47" s="96">
        <v>3.0</v>
      </c>
      <c r="H47" s="97">
        <v>50000.0</v>
      </c>
      <c r="I47" s="98">
        <f t="shared" ref="I47:I53" si="2">EDATE(F47, G47)</f>
        <v>46294</v>
      </c>
      <c r="J47" s="99" t="b">
        <v>0</v>
      </c>
      <c r="K47" s="101" t="s">
        <v>615</v>
      </c>
      <c r="L47" s="103" t="s">
        <v>64</v>
      </c>
      <c r="M47" s="114" t="s">
        <v>529</v>
      </c>
      <c r="N47" s="115"/>
      <c r="O47" s="115"/>
    </row>
    <row r="48" ht="38.25" customHeight="1">
      <c r="A48" s="118">
        <v>42.0</v>
      </c>
      <c r="B48" s="93" t="s">
        <v>294</v>
      </c>
      <c r="C48" s="92" t="s">
        <v>622</v>
      </c>
      <c r="D48" s="93" t="s">
        <v>624</v>
      </c>
      <c r="E48" s="95">
        <v>46234.0</v>
      </c>
      <c r="F48" s="95">
        <v>46234.0</v>
      </c>
      <c r="G48" s="96">
        <v>3.0</v>
      </c>
      <c r="H48" s="97">
        <v>85000.0</v>
      </c>
      <c r="I48" s="98">
        <f t="shared" si="2"/>
        <v>46326</v>
      </c>
      <c r="J48" s="99" t="b">
        <v>0</v>
      </c>
      <c r="K48" s="103" t="s">
        <v>315</v>
      </c>
      <c r="L48" s="103" t="s">
        <v>64</v>
      </c>
      <c r="M48" s="114" t="s">
        <v>529</v>
      </c>
      <c r="N48" s="115"/>
      <c r="O48" s="115"/>
    </row>
    <row r="49" ht="38.25" customHeight="1">
      <c r="A49" s="164">
        <v>45.0</v>
      </c>
      <c r="B49" s="139" t="s">
        <v>301</v>
      </c>
      <c r="C49" s="140" t="s">
        <v>634</v>
      </c>
      <c r="D49" s="139" t="s">
        <v>635</v>
      </c>
      <c r="E49" s="142">
        <v>46256.0</v>
      </c>
      <c r="F49" s="142">
        <v>46256.0</v>
      </c>
      <c r="G49" s="144">
        <v>3.0</v>
      </c>
      <c r="H49" s="145">
        <v>150000.0</v>
      </c>
      <c r="I49" s="146">
        <f t="shared" si="2"/>
        <v>46348</v>
      </c>
      <c r="J49" s="147" t="b">
        <v>0</v>
      </c>
      <c r="K49" s="151" t="s">
        <v>641</v>
      </c>
      <c r="L49" s="153" t="s">
        <v>645</v>
      </c>
      <c r="M49" s="114" t="s">
        <v>529</v>
      </c>
      <c r="N49" s="115"/>
      <c r="O49" s="115"/>
    </row>
    <row r="50" ht="42.75" customHeight="1">
      <c r="A50" s="137">
        <v>49.0</v>
      </c>
      <c r="B50" s="166" t="s">
        <v>319</v>
      </c>
      <c r="C50" s="169" t="s">
        <v>649</v>
      </c>
      <c r="D50" s="166" t="s">
        <v>651</v>
      </c>
      <c r="E50" s="171">
        <v>46217.0</v>
      </c>
      <c r="F50" s="171">
        <v>46217.0</v>
      </c>
      <c r="G50" s="172">
        <v>3.0</v>
      </c>
      <c r="H50" s="175">
        <v>500000.0</v>
      </c>
      <c r="I50" s="176">
        <f t="shared" si="2"/>
        <v>46309</v>
      </c>
      <c r="J50" s="172" t="b">
        <v>0</v>
      </c>
      <c r="K50" s="183" t="s">
        <v>655</v>
      </c>
      <c r="L50" s="166" t="s">
        <v>64</v>
      </c>
      <c r="M50" s="114" t="s">
        <v>529</v>
      </c>
      <c r="N50" s="115"/>
      <c r="O50" s="115"/>
      <c r="P50" s="82"/>
    </row>
    <row r="51" ht="54.0" customHeight="1">
      <c r="A51" s="107">
        <v>50.0</v>
      </c>
      <c r="B51" s="166" t="s">
        <v>328</v>
      </c>
      <c r="C51" s="169" t="s">
        <v>656</v>
      </c>
      <c r="D51" s="166" t="s">
        <v>657</v>
      </c>
      <c r="E51" s="171">
        <v>46234.0</v>
      </c>
      <c r="F51" s="171">
        <v>46235.0</v>
      </c>
      <c r="G51" s="172">
        <v>1.0</v>
      </c>
      <c r="H51" s="175">
        <v>1500000.0</v>
      </c>
      <c r="I51" s="176">
        <f t="shared" si="2"/>
        <v>46266</v>
      </c>
      <c r="J51" s="172" t="b">
        <v>0</v>
      </c>
      <c r="K51" s="183" t="s">
        <v>660</v>
      </c>
      <c r="L51" s="166" t="s">
        <v>64</v>
      </c>
      <c r="M51" s="114" t="s">
        <v>665</v>
      </c>
      <c r="N51" s="130" t="s">
        <v>180</v>
      </c>
      <c r="O51" s="130" t="s">
        <v>666</v>
      </c>
      <c r="P51" s="82"/>
    </row>
    <row r="52" ht="22.5" customHeight="1">
      <c r="A52" s="137">
        <v>51.0</v>
      </c>
      <c r="B52" s="166" t="s">
        <v>332</v>
      </c>
      <c r="C52" s="172" t="s">
        <v>668</v>
      </c>
      <c r="D52" s="166" t="s">
        <v>670</v>
      </c>
      <c r="E52" s="171">
        <v>46246.0</v>
      </c>
      <c r="F52" s="171">
        <v>46248.0</v>
      </c>
      <c r="G52" s="172">
        <v>3.0</v>
      </c>
      <c r="H52" s="175">
        <v>1500000.0</v>
      </c>
      <c r="I52" s="176">
        <f t="shared" si="2"/>
        <v>46340</v>
      </c>
      <c r="J52" s="172" t="b">
        <v>0</v>
      </c>
      <c r="K52" s="183" t="s">
        <v>675</v>
      </c>
      <c r="L52" s="166" t="s">
        <v>64</v>
      </c>
      <c r="M52" s="114" t="s">
        <v>665</v>
      </c>
      <c r="N52" s="115"/>
      <c r="O52" s="115"/>
      <c r="P52" s="82"/>
    </row>
    <row r="53" ht="22.5" customHeight="1">
      <c r="A53" s="197"/>
      <c r="B53" s="198"/>
      <c r="C53" s="199"/>
      <c r="D53" s="198"/>
      <c r="E53" s="200"/>
      <c r="F53" s="200"/>
      <c r="G53" s="199"/>
      <c r="H53" s="201">
        <f>SUM(H3:H52)</f>
        <v>8020000</v>
      </c>
      <c r="I53" s="202">
        <f t="shared" si="2"/>
        <v>0</v>
      </c>
      <c r="J53" s="199" t="b">
        <v>0</v>
      </c>
      <c r="K53" s="198"/>
      <c r="L53" s="198"/>
      <c r="M53" s="130"/>
      <c r="N53" s="115"/>
      <c r="O53" s="115"/>
      <c r="P53" s="82"/>
    </row>
    <row r="54">
      <c r="A54" s="82"/>
      <c r="B54" s="203"/>
      <c r="C54" s="204" t="s">
        <v>686</v>
      </c>
      <c r="D54" s="82"/>
      <c r="E54" s="205"/>
      <c r="F54" s="205"/>
      <c r="G54" s="206"/>
      <c r="H54" s="205"/>
      <c r="I54" s="205"/>
      <c r="J54" s="205"/>
      <c r="K54" s="82"/>
      <c r="L54" s="82"/>
      <c r="M54" s="82"/>
      <c r="N54" s="82"/>
      <c r="O54" s="82"/>
      <c r="P54" s="82"/>
    </row>
    <row r="55">
      <c r="A55" s="82"/>
      <c r="B55" s="184"/>
      <c r="C55" s="205"/>
      <c r="D55" s="82"/>
      <c r="E55" s="205"/>
      <c r="F55" s="205"/>
      <c r="G55" s="206"/>
      <c r="H55" s="205"/>
      <c r="I55" s="205"/>
      <c r="J55" s="205"/>
      <c r="K55" s="82"/>
      <c r="L55" s="82"/>
      <c r="M55" s="82"/>
      <c r="N55" s="82"/>
      <c r="O55" s="82"/>
      <c r="P55" s="82"/>
    </row>
    <row r="56">
      <c r="A56" s="82"/>
      <c r="B56" s="184"/>
      <c r="C56" s="205"/>
      <c r="D56" s="82"/>
      <c r="E56" s="205"/>
      <c r="F56" s="205"/>
      <c r="G56" s="206"/>
      <c r="H56" s="205"/>
      <c r="I56" s="205"/>
      <c r="J56" s="205"/>
      <c r="K56" s="82"/>
      <c r="L56" s="82"/>
      <c r="M56" s="82"/>
      <c r="N56" s="82"/>
      <c r="O56" s="82"/>
      <c r="P56" s="82"/>
    </row>
    <row r="57">
      <c r="A57" s="82"/>
      <c r="B57" s="184"/>
      <c r="C57" s="205"/>
      <c r="D57" s="82"/>
      <c r="E57" s="205"/>
      <c r="F57" s="205"/>
      <c r="G57" s="206"/>
      <c r="H57" s="205"/>
      <c r="I57" s="205"/>
      <c r="J57" s="205"/>
      <c r="K57" s="82"/>
      <c r="L57" s="82"/>
      <c r="M57" s="82"/>
      <c r="N57" s="82"/>
      <c r="O57" s="82"/>
      <c r="P57" s="82"/>
    </row>
    <row r="58">
      <c r="A58" s="82"/>
      <c r="B58" s="184"/>
      <c r="C58" s="205"/>
      <c r="D58" s="82"/>
      <c r="E58" s="205"/>
      <c r="F58" s="205"/>
      <c r="G58" s="206"/>
      <c r="H58" s="205"/>
      <c r="I58" s="205"/>
      <c r="J58" s="205"/>
      <c r="K58" s="82"/>
      <c r="L58" s="82"/>
      <c r="M58" s="82"/>
      <c r="N58" s="82"/>
      <c r="O58" s="82"/>
      <c r="P58" s="82"/>
    </row>
    <row r="59">
      <c r="A59" s="82"/>
      <c r="B59" s="184"/>
      <c r="C59" s="205"/>
      <c r="D59" s="82"/>
      <c r="E59" s="205"/>
      <c r="F59" s="205"/>
      <c r="G59" s="206"/>
      <c r="H59" s="205"/>
      <c r="I59" s="205"/>
      <c r="J59" s="205"/>
      <c r="K59" s="82"/>
      <c r="L59" s="82"/>
      <c r="M59" s="82"/>
      <c r="N59" s="82"/>
      <c r="O59" s="82"/>
      <c r="P59" s="82"/>
    </row>
    <row r="60">
      <c r="A60" s="82"/>
      <c r="B60" s="184"/>
      <c r="C60" s="205"/>
      <c r="D60" s="82"/>
      <c r="E60" s="205"/>
      <c r="F60" s="205"/>
      <c r="G60" s="206"/>
      <c r="H60" s="205"/>
      <c r="I60" s="205"/>
      <c r="J60" s="205"/>
      <c r="K60" s="82"/>
      <c r="L60" s="82"/>
      <c r="M60" s="82"/>
      <c r="N60" s="82"/>
      <c r="O60" s="82"/>
      <c r="P60" s="82"/>
    </row>
    <row r="61">
      <c r="A61" s="82"/>
      <c r="B61" s="184"/>
      <c r="C61" s="205"/>
      <c r="D61" s="82"/>
      <c r="E61" s="205"/>
      <c r="F61" s="205"/>
      <c r="G61" s="206"/>
      <c r="H61" s="205"/>
      <c r="I61" s="205"/>
      <c r="J61" s="205"/>
      <c r="K61" s="82"/>
      <c r="L61" s="82"/>
      <c r="M61" s="82"/>
      <c r="N61" s="82"/>
      <c r="O61" s="82"/>
      <c r="P61" s="82"/>
    </row>
    <row r="62">
      <c r="A62" s="82"/>
      <c r="B62" s="184"/>
      <c r="C62" s="205"/>
      <c r="D62" s="82"/>
      <c r="E62" s="205"/>
      <c r="F62" s="205"/>
      <c r="G62" s="206"/>
      <c r="H62" s="205"/>
      <c r="I62" s="205"/>
      <c r="J62" s="205"/>
      <c r="K62" s="82"/>
      <c r="L62" s="82"/>
      <c r="M62" s="82"/>
      <c r="N62" s="82"/>
      <c r="O62" s="82"/>
      <c r="P62" s="82"/>
    </row>
    <row r="63">
      <c r="A63" s="82"/>
      <c r="B63" s="184"/>
      <c r="C63" s="205"/>
      <c r="D63" s="82"/>
      <c r="E63" s="205"/>
      <c r="F63" s="205"/>
      <c r="G63" s="206"/>
      <c r="H63" s="205"/>
      <c r="I63" s="205"/>
      <c r="J63" s="205"/>
      <c r="K63" s="82"/>
      <c r="L63" s="82"/>
      <c r="M63" s="82"/>
      <c r="N63" s="82"/>
      <c r="O63" s="82"/>
      <c r="P63" s="82"/>
    </row>
    <row r="64">
      <c r="A64" s="82"/>
      <c r="B64" s="184"/>
      <c r="C64" s="205"/>
      <c r="D64" s="82"/>
      <c r="E64" s="205"/>
      <c r="F64" s="205"/>
      <c r="G64" s="206"/>
      <c r="H64" s="205"/>
      <c r="I64" s="205"/>
      <c r="J64" s="205"/>
      <c r="K64" s="82"/>
      <c r="L64" s="82"/>
      <c r="M64" s="82"/>
      <c r="N64" s="82"/>
      <c r="O64" s="82"/>
      <c r="P64" s="82"/>
    </row>
    <row r="65">
      <c r="A65" s="82"/>
      <c r="B65" s="184"/>
      <c r="C65" s="205"/>
      <c r="D65" s="82"/>
      <c r="E65" s="205"/>
      <c r="F65" s="205"/>
      <c r="G65" s="206"/>
      <c r="H65" s="205"/>
      <c r="I65" s="205"/>
      <c r="J65" s="205"/>
      <c r="K65" s="82"/>
      <c r="L65" s="82"/>
      <c r="M65" s="82"/>
      <c r="N65" s="82"/>
      <c r="O65" s="82"/>
      <c r="P65" s="82"/>
    </row>
    <row r="66">
      <c r="A66" s="82"/>
      <c r="B66" s="184"/>
      <c r="C66" s="205"/>
      <c r="D66" s="82"/>
      <c r="E66" s="205"/>
      <c r="F66" s="205"/>
      <c r="G66" s="206"/>
      <c r="H66" s="205"/>
      <c r="I66" s="205"/>
      <c r="J66" s="205"/>
      <c r="K66" s="82"/>
      <c r="L66" s="82"/>
      <c r="M66" s="82"/>
      <c r="N66" s="82"/>
      <c r="O66" s="82"/>
      <c r="P66" s="82"/>
    </row>
    <row r="67">
      <c r="A67" s="82"/>
      <c r="B67" s="184"/>
      <c r="C67" s="205"/>
      <c r="D67" s="82"/>
      <c r="E67" s="205"/>
      <c r="F67" s="205"/>
      <c r="G67" s="206"/>
      <c r="H67" s="205"/>
      <c r="I67" s="205"/>
      <c r="J67" s="205"/>
      <c r="K67" s="82"/>
      <c r="L67" s="82"/>
      <c r="M67" s="82"/>
      <c r="N67" s="82"/>
      <c r="O67" s="82"/>
      <c r="P67" s="82"/>
    </row>
    <row r="68">
      <c r="A68" s="82"/>
      <c r="B68" s="184"/>
      <c r="C68" s="205"/>
      <c r="D68" s="82"/>
      <c r="E68" s="205"/>
      <c r="F68" s="205"/>
      <c r="G68" s="206"/>
      <c r="H68" s="205"/>
      <c r="I68" s="205"/>
      <c r="J68" s="205"/>
      <c r="K68" s="82"/>
      <c r="L68" s="82"/>
      <c r="M68" s="82"/>
      <c r="N68" s="82"/>
      <c r="O68" s="82"/>
      <c r="P68" s="82"/>
    </row>
    <row r="69">
      <c r="A69" s="82"/>
      <c r="B69" s="184"/>
      <c r="C69" s="205"/>
      <c r="D69" s="82"/>
      <c r="E69" s="205"/>
      <c r="F69" s="205"/>
      <c r="G69" s="206"/>
      <c r="H69" s="205"/>
      <c r="I69" s="205"/>
      <c r="J69" s="205"/>
      <c r="K69" s="82"/>
      <c r="L69" s="82"/>
      <c r="M69" s="82"/>
      <c r="N69" s="82"/>
      <c r="O69" s="82"/>
      <c r="P69" s="82"/>
    </row>
    <row r="70">
      <c r="A70" s="82"/>
      <c r="B70" s="184"/>
      <c r="C70" s="205"/>
      <c r="D70" s="82"/>
      <c r="E70" s="205"/>
      <c r="F70" s="205"/>
      <c r="G70" s="206"/>
      <c r="H70" s="205"/>
      <c r="I70" s="205"/>
      <c r="J70" s="205"/>
      <c r="K70" s="82"/>
      <c r="L70" s="82"/>
      <c r="M70" s="82"/>
      <c r="N70" s="82"/>
      <c r="O70" s="82"/>
      <c r="P70" s="82"/>
    </row>
    <row r="71">
      <c r="A71" s="82"/>
      <c r="B71" s="184"/>
      <c r="C71" s="205"/>
      <c r="D71" s="82"/>
      <c r="E71" s="205"/>
      <c r="F71" s="205"/>
      <c r="G71" s="206"/>
      <c r="H71" s="205"/>
      <c r="I71" s="205"/>
      <c r="J71" s="205"/>
      <c r="K71" s="82"/>
      <c r="L71" s="82"/>
      <c r="M71" s="82"/>
      <c r="N71" s="82"/>
      <c r="O71" s="82"/>
      <c r="P71" s="82"/>
    </row>
    <row r="72">
      <c r="A72" s="82"/>
      <c r="B72" s="184"/>
      <c r="C72" s="205"/>
      <c r="D72" s="82"/>
      <c r="E72" s="205"/>
      <c r="F72" s="205"/>
      <c r="G72" s="206"/>
      <c r="H72" s="205"/>
      <c r="I72" s="205"/>
      <c r="J72" s="205"/>
      <c r="K72" s="82"/>
      <c r="L72" s="82"/>
      <c r="M72" s="82"/>
      <c r="N72" s="82"/>
      <c r="O72" s="82"/>
      <c r="P72" s="82"/>
    </row>
    <row r="73">
      <c r="A73" s="82"/>
      <c r="B73" s="184"/>
      <c r="C73" s="205"/>
      <c r="D73" s="82"/>
      <c r="E73" s="205"/>
      <c r="F73" s="205"/>
      <c r="G73" s="206"/>
      <c r="H73" s="205"/>
      <c r="I73" s="205"/>
      <c r="J73" s="205"/>
      <c r="K73" s="82"/>
      <c r="L73" s="82"/>
      <c r="M73" s="82"/>
      <c r="N73" s="82"/>
      <c r="O73" s="82"/>
      <c r="P73" s="82"/>
    </row>
    <row r="74">
      <c r="A74" s="82"/>
      <c r="B74" s="184"/>
      <c r="C74" s="205"/>
      <c r="D74" s="82"/>
      <c r="E74" s="205"/>
      <c r="F74" s="205"/>
      <c r="G74" s="206"/>
      <c r="H74" s="205"/>
      <c r="I74" s="205"/>
      <c r="J74" s="205"/>
      <c r="K74" s="82"/>
      <c r="L74" s="82"/>
      <c r="M74" s="82"/>
      <c r="N74" s="82"/>
      <c r="O74" s="82"/>
      <c r="P74" s="82"/>
    </row>
    <row r="75">
      <c r="A75" s="82"/>
      <c r="B75" s="184"/>
      <c r="C75" s="205"/>
      <c r="D75" s="82"/>
      <c r="E75" s="205"/>
      <c r="F75" s="205"/>
      <c r="G75" s="206"/>
      <c r="H75" s="205"/>
      <c r="I75" s="205"/>
      <c r="J75" s="205"/>
      <c r="K75" s="82"/>
      <c r="L75" s="82"/>
      <c r="M75" s="82"/>
      <c r="N75" s="82"/>
      <c r="O75" s="82"/>
      <c r="P75" s="82"/>
    </row>
    <row r="76">
      <c r="A76" s="82"/>
      <c r="B76" s="184"/>
      <c r="C76" s="205"/>
      <c r="D76" s="82"/>
      <c r="E76" s="205"/>
      <c r="F76" s="205"/>
      <c r="G76" s="206"/>
      <c r="H76" s="205"/>
      <c r="I76" s="205"/>
      <c r="J76" s="205"/>
      <c r="K76" s="82"/>
      <c r="L76" s="82"/>
      <c r="M76" s="82"/>
      <c r="N76" s="82"/>
      <c r="O76" s="82"/>
      <c r="P76" s="82"/>
    </row>
    <row r="77">
      <c r="A77" s="82"/>
      <c r="B77" s="184"/>
      <c r="C77" s="205"/>
      <c r="D77" s="82"/>
      <c r="E77" s="205"/>
      <c r="F77" s="205"/>
      <c r="G77" s="206"/>
      <c r="H77" s="205"/>
      <c r="I77" s="205"/>
      <c r="J77" s="205"/>
      <c r="K77" s="82"/>
      <c r="L77" s="82"/>
      <c r="M77" s="82"/>
      <c r="N77" s="82"/>
      <c r="O77" s="82"/>
      <c r="P77" s="82"/>
    </row>
    <row r="78">
      <c r="A78" s="82"/>
      <c r="B78" s="184"/>
      <c r="C78" s="205"/>
      <c r="D78" s="82"/>
      <c r="E78" s="205"/>
      <c r="F78" s="205"/>
      <c r="G78" s="206"/>
      <c r="H78" s="205"/>
      <c r="I78" s="205"/>
      <c r="J78" s="205"/>
      <c r="K78" s="82"/>
      <c r="L78" s="82"/>
      <c r="M78" s="82"/>
      <c r="N78" s="82"/>
      <c r="O78" s="82"/>
      <c r="P78" s="82"/>
    </row>
    <row r="79">
      <c r="A79" s="82"/>
      <c r="B79" s="184"/>
      <c r="C79" s="205"/>
      <c r="D79" s="82"/>
      <c r="E79" s="205"/>
      <c r="F79" s="205"/>
      <c r="G79" s="206"/>
      <c r="H79" s="205"/>
      <c r="I79" s="205"/>
      <c r="J79" s="205"/>
      <c r="K79" s="82"/>
      <c r="L79" s="82"/>
      <c r="M79" s="82"/>
      <c r="N79" s="82"/>
      <c r="O79" s="82"/>
      <c r="P79" s="82"/>
    </row>
    <row r="80">
      <c r="A80" s="82"/>
      <c r="B80" s="184"/>
      <c r="C80" s="205"/>
      <c r="D80" s="82"/>
      <c r="E80" s="205"/>
      <c r="F80" s="205"/>
      <c r="G80" s="206"/>
      <c r="H80" s="205"/>
      <c r="I80" s="205"/>
      <c r="J80" s="205"/>
      <c r="K80" s="82"/>
      <c r="L80" s="82"/>
      <c r="M80" s="82"/>
      <c r="N80" s="82"/>
      <c r="O80" s="82"/>
      <c r="P80" s="82"/>
    </row>
    <row r="81">
      <c r="A81" s="82"/>
      <c r="B81" s="184"/>
      <c r="C81" s="205"/>
      <c r="D81" s="82"/>
      <c r="E81" s="205"/>
      <c r="F81" s="205"/>
      <c r="G81" s="206"/>
      <c r="H81" s="205"/>
      <c r="I81" s="205"/>
      <c r="J81" s="205"/>
      <c r="K81" s="82"/>
      <c r="L81" s="82"/>
      <c r="M81" s="82"/>
      <c r="N81" s="82"/>
      <c r="O81" s="82"/>
      <c r="P81" s="82"/>
    </row>
    <row r="82">
      <c r="A82" s="82"/>
      <c r="B82" s="184"/>
      <c r="C82" s="205"/>
      <c r="D82" s="82"/>
      <c r="E82" s="205"/>
      <c r="F82" s="205"/>
      <c r="G82" s="206"/>
      <c r="H82" s="205"/>
      <c r="I82" s="205"/>
      <c r="J82" s="205"/>
      <c r="K82" s="82"/>
      <c r="L82" s="82"/>
      <c r="M82" s="82"/>
      <c r="N82" s="82"/>
      <c r="O82" s="82"/>
      <c r="P82" s="82"/>
    </row>
    <row r="83">
      <c r="A83" s="82"/>
      <c r="B83" s="184"/>
      <c r="C83" s="205"/>
      <c r="D83" s="82"/>
      <c r="E83" s="205"/>
      <c r="F83" s="205"/>
      <c r="G83" s="206"/>
      <c r="H83" s="205"/>
      <c r="I83" s="205"/>
      <c r="J83" s="205"/>
      <c r="K83" s="82"/>
      <c r="L83" s="82"/>
      <c r="M83" s="82"/>
      <c r="N83" s="82"/>
      <c r="O83" s="82"/>
      <c r="P83" s="82"/>
    </row>
    <row r="84">
      <c r="A84" s="82"/>
      <c r="B84" s="184"/>
      <c r="C84" s="205"/>
      <c r="D84" s="82"/>
      <c r="E84" s="205"/>
      <c r="F84" s="205"/>
      <c r="G84" s="206"/>
      <c r="H84" s="205"/>
      <c r="I84" s="205"/>
      <c r="J84" s="205"/>
      <c r="K84" s="82"/>
      <c r="L84" s="82"/>
      <c r="M84" s="82"/>
      <c r="N84" s="82"/>
      <c r="O84" s="82"/>
      <c r="P84" s="82"/>
    </row>
    <row r="85">
      <c r="A85" s="82"/>
      <c r="B85" s="184"/>
      <c r="C85" s="205"/>
      <c r="D85" s="82"/>
      <c r="E85" s="205"/>
      <c r="F85" s="205"/>
      <c r="G85" s="206"/>
      <c r="H85" s="205"/>
      <c r="I85" s="205"/>
      <c r="J85" s="205"/>
      <c r="K85" s="82"/>
      <c r="L85" s="82"/>
      <c r="M85" s="82"/>
      <c r="N85" s="82"/>
      <c r="O85" s="82"/>
      <c r="P85" s="82"/>
    </row>
    <row r="86">
      <c r="A86" s="82"/>
      <c r="B86" s="184"/>
      <c r="C86" s="205"/>
      <c r="D86" s="82"/>
      <c r="E86" s="205"/>
      <c r="F86" s="205"/>
      <c r="G86" s="206"/>
      <c r="H86" s="205"/>
      <c r="I86" s="205"/>
      <c r="J86" s="205"/>
      <c r="K86" s="82"/>
      <c r="L86" s="82"/>
      <c r="M86" s="82"/>
      <c r="N86" s="82"/>
      <c r="O86" s="82"/>
      <c r="P86" s="82"/>
    </row>
    <row r="87">
      <c r="A87" s="82"/>
      <c r="B87" s="184"/>
      <c r="C87" s="205"/>
      <c r="D87" s="82"/>
      <c r="E87" s="205"/>
      <c r="F87" s="205"/>
      <c r="G87" s="206"/>
      <c r="H87" s="205"/>
      <c r="I87" s="205"/>
      <c r="J87" s="205"/>
      <c r="K87" s="82"/>
      <c r="L87" s="82"/>
      <c r="M87" s="82"/>
      <c r="N87" s="82"/>
      <c r="O87" s="82"/>
      <c r="P87" s="82"/>
    </row>
    <row r="88">
      <c r="A88" s="82"/>
      <c r="B88" s="184"/>
      <c r="C88" s="205"/>
      <c r="D88" s="82"/>
      <c r="E88" s="205"/>
      <c r="F88" s="205"/>
      <c r="G88" s="206"/>
      <c r="H88" s="205"/>
      <c r="I88" s="205"/>
      <c r="J88" s="205"/>
      <c r="K88" s="82"/>
      <c r="L88" s="82"/>
      <c r="M88" s="82"/>
      <c r="N88" s="82"/>
      <c r="O88" s="82"/>
      <c r="P88" s="82"/>
    </row>
    <row r="89">
      <c r="A89" s="82"/>
      <c r="B89" s="184"/>
      <c r="C89" s="205"/>
      <c r="D89" s="82"/>
      <c r="E89" s="205"/>
      <c r="F89" s="205"/>
      <c r="G89" s="206"/>
      <c r="H89" s="205"/>
      <c r="I89" s="205"/>
      <c r="J89" s="205"/>
      <c r="K89" s="82"/>
      <c r="L89" s="82"/>
      <c r="M89" s="82"/>
      <c r="N89" s="82"/>
      <c r="O89" s="82"/>
      <c r="P89" s="82"/>
    </row>
    <row r="90">
      <c r="A90" s="82"/>
      <c r="B90" s="184"/>
      <c r="C90" s="205"/>
      <c r="D90" s="82"/>
      <c r="E90" s="205"/>
      <c r="F90" s="205"/>
      <c r="G90" s="206"/>
      <c r="H90" s="205"/>
      <c r="I90" s="205"/>
      <c r="J90" s="205"/>
      <c r="K90" s="82"/>
      <c r="L90" s="82"/>
      <c r="M90" s="82"/>
      <c r="N90" s="82"/>
      <c r="O90" s="82"/>
      <c r="P90" s="82"/>
    </row>
    <row r="91">
      <c r="A91" s="82"/>
      <c r="B91" s="184"/>
      <c r="C91" s="205"/>
      <c r="D91" s="82"/>
      <c r="E91" s="205"/>
      <c r="F91" s="205"/>
      <c r="G91" s="206"/>
      <c r="H91" s="205"/>
      <c r="I91" s="205"/>
      <c r="J91" s="205"/>
      <c r="K91" s="82"/>
      <c r="L91" s="82"/>
      <c r="M91" s="82"/>
      <c r="N91" s="82"/>
      <c r="O91" s="82"/>
      <c r="P91" s="82"/>
    </row>
    <row r="92">
      <c r="A92" s="82"/>
      <c r="B92" s="184"/>
      <c r="C92" s="205"/>
      <c r="D92" s="82"/>
      <c r="E92" s="205"/>
      <c r="F92" s="205"/>
      <c r="G92" s="206"/>
      <c r="H92" s="205"/>
      <c r="I92" s="205"/>
      <c r="J92" s="205"/>
      <c r="K92" s="82"/>
      <c r="L92" s="82"/>
      <c r="M92" s="82"/>
      <c r="N92" s="82"/>
      <c r="O92" s="82"/>
      <c r="P92" s="82"/>
    </row>
    <row r="93">
      <c r="A93" s="82"/>
      <c r="B93" s="184"/>
      <c r="C93" s="205"/>
      <c r="D93" s="82"/>
      <c r="E93" s="205"/>
      <c r="F93" s="205"/>
      <c r="G93" s="206"/>
      <c r="H93" s="205"/>
      <c r="I93" s="205"/>
      <c r="J93" s="205"/>
      <c r="K93" s="82"/>
      <c r="L93" s="82"/>
      <c r="M93" s="82"/>
      <c r="N93" s="82"/>
      <c r="O93" s="82"/>
      <c r="P93" s="82"/>
    </row>
    <row r="94">
      <c r="A94" s="82"/>
      <c r="B94" s="184"/>
      <c r="C94" s="205"/>
      <c r="D94" s="82"/>
      <c r="E94" s="205"/>
      <c r="F94" s="205"/>
      <c r="G94" s="206"/>
      <c r="H94" s="205"/>
      <c r="I94" s="205"/>
      <c r="J94" s="205"/>
      <c r="K94" s="82"/>
      <c r="L94" s="82"/>
      <c r="M94" s="82"/>
      <c r="N94" s="82"/>
      <c r="O94" s="82"/>
      <c r="P94" s="82"/>
    </row>
    <row r="95">
      <c r="A95" s="82"/>
      <c r="B95" s="184"/>
      <c r="C95" s="205"/>
      <c r="D95" s="82"/>
      <c r="E95" s="205"/>
      <c r="F95" s="205"/>
      <c r="G95" s="206"/>
      <c r="H95" s="205"/>
      <c r="I95" s="205"/>
      <c r="J95" s="205"/>
      <c r="K95" s="82"/>
      <c r="L95" s="82"/>
      <c r="M95" s="82"/>
      <c r="N95" s="82"/>
      <c r="O95" s="82"/>
      <c r="P95" s="82"/>
    </row>
    <row r="96">
      <c r="A96" s="82"/>
      <c r="B96" s="184"/>
      <c r="C96" s="205"/>
      <c r="D96" s="82"/>
      <c r="E96" s="205"/>
      <c r="F96" s="205"/>
      <c r="G96" s="206"/>
      <c r="H96" s="205"/>
      <c r="I96" s="205"/>
      <c r="J96" s="205"/>
      <c r="K96" s="82"/>
      <c r="L96" s="82"/>
      <c r="M96" s="82"/>
      <c r="N96" s="82"/>
      <c r="O96" s="82"/>
      <c r="P96" s="82"/>
    </row>
    <row r="97">
      <c r="A97" s="82"/>
      <c r="B97" s="184"/>
      <c r="C97" s="205"/>
      <c r="D97" s="82"/>
      <c r="E97" s="205"/>
      <c r="F97" s="205"/>
      <c r="G97" s="206"/>
      <c r="H97" s="205"/>
      <c r="I97" s="205"/>
      <c r="J97" s="205"/>
      <c r="K97" s="82"/>
      <c r="L97" s="82"/>
      <c r="M97" s="82"/>
      <c r="N97" s="82"/>
      <c r="O97" s="82"/>
      <c r="P97" s="82"/>
    </row>
    <row r="98">
      <c r="A98" s="82"/>
      <c r="B98" s="184"/>
      <c r="C98" s="205"/>
      <c r="D98" s="82"/>
      <c r="E98" s="205"/>
      <c r="F98" s="205"/>
      <c r="G98" s="206"/>
      <c r="H98" s="205"/>
      <c r="I98" s="205"/>
      <c r="J98" s="205"/>
      <c r="K98" s="82"/>
      <c r="L98" s="82"/>
      <c r="M98" s="82"/>
      <c r="N98" s="82"/>
      <c r="O98" s="82"/>
      <c r="P98" s="82"/>
    </row>
    <row r="99">
      <c r="A99" s="82"/>
      <c r="B99" s="184"/>
      <c r="C99" s="205"/>
      <c r="D99" s="82"/>
      <c r="E99" s="205"/>
      <c r="F99" s="205"/>
      <c r="G99" s="206"/>
      <c r="H99" s="205"/>
      <c r="I99" s="205"/>
      <c r="J99" s="205"/>
      <c r="K99" s="82"/>
      <c r="L99" s="82"/>
      <c r="M99" s="82"/>
      <c r="N99" s="82"/>
      <c r="O99" s="82"/>
      <c r="P99" s="82"/>
    </row>
    <row r="100">
      <c r="A100" s="82"/>
      <c r="B100" s="184"/>
      <c r="C100" s="205"/>
      <c r="D100" s="82"/>
      <c r="E100" s="205"/>
      <c r="F100" s="205"/>
      <c r="G100" s="206"/>
      <c r="H100" s="205"/>
      <c r="I100" s="205"/>
      <c r="J100" s="205"/>
      <c r="K100" s="82"/>
      <c r="L100" s="82"/>
      <c r="M100" s="82"/>
      <c r="N100" s="82"/>
      <c r="O100" s="82"/>
      <c r="P100" s="82"/>
    </row>
    <row r="101">
      <c r="A101" s="82"/>
      <c r="B101" s="184"/>
      <c r="C101" s="205"/>
      <c r="D101" s="82"/>
      <c r="E101" s="205"/>
      <c r="F101" s="205"/>
      <c r="G101" s="206"/>
      <c r="H101" s="205"/>
      <c r="I101" s="205"/>
      <c r="J101" s="205"/>
      <c r="K101" s="82"/>
      <c r="L101" s="82"/>
      <c r="M101" s="82"/>
      <c r="N101" s="82"/>
      <c r="O101" s="82"/>
      <c r="P101" s="82"/>
    </row>
    <row r="102">
      <c r="A102" s="82"/>
      <c r="B102" s="184"/>
      <c r="C102" s="205"/>
      <c r="D102" s="82"/>
      <c r="E102" s="205"/>
      <c r="F102" s="205"/>
      <c r="G102" s="206"/>
      <c r="H102" s="205"/>
      <c r="I102" s="205"/>
      <c r="J102" s="205"/>
      <c r="K102" s="82"/>
      <c r="L102" s="82"/>
      <c r="M102" s="82"/>
      <c r="N102" s="82"/>
      <c r="O102" s="82"/>
      <c r="P102" s="82"/>
    </row>
    <row r="103">
      <c r="A103" s="82"/>
      <c r="B103" s="184"/>
      <c r="C103" s="205"/>
      <c r="D103" s="82"/>
      <c r="E103" s="205"/>
      <c r="F103" s="205"/>
      <c r="G103" s="206"/>
      <c r="H103" s="205"/>
      <c r="I103" s="205"/>
      <c r="J103" s="205"/>
      <c r="K103" s="82"/>
      <c r="L103" s="82"/>
      <c r="M103" s="82"/>
      <c r="N103" s="82"/>
      <c r="O103" s="82"/>
      <c r="P103" s="82"/>
    </row>
    <row r="104">
      <c r="A104" s="82"/>
      <c r="B104" s="184"/>
      <c r="C104" s="205"/>
      <c r="D104" s="82"/>
      <c r="E104" s="205"/>
      <c r="F104" s="205"/>
      <c r="G104" s="206"/>
      <c r="H104" s="205"/>
      <c r="I104" s="205"/>
      <c r="J104" s="205"/>
      <c r="K104" s="82"/>
      <c r="L104" s="82"/>
      <c r="M104" s="82"/>
      <c r="N104" s="82"/>
      <c r="O104" s="82"/>
      <c r="P104" s="82"/>
    </row>
    <row r="105">
      <c r="A105" s="82"/>
      <c r="B105" s="184"/>
      <c r="C105" s="205"/>
      <c r="D105" s="82"/>
      <c r="E105" s="205"/>
      <c r="F105" s="205"/>
      <c r="G105" s="206"/>
      <c r="H105" s="205"/>
      <c r="I105" s="205"/>
      <c r="J105" s="205"/>
      <c r="K105" s="82"/>
      <c r="L105" s="82"/>
      <c r="M105" s="82"/>
      <c r="N105" s="82"/>
      <c r="O105" s="82"/>
      <c r="P105" s="82"/>
    </row>
    <row r="106">
      <c r="A106" s="82"/>
      <c r="B106" s="184"/>
      <c r="C106" s="205"/>
      <c r="D106" s="82"/>
      <c r="E106" s="205"/>
      <c r="F106" s="205"/>
      <c r="G106" s="206"/>
      <c r="H106" s="205"/>
      <c r="I106" s="205"/>
      <c r="J106" s="205"/>
      <c r="K106" s="82"/>
      <c r="L106" s="82"/>
      <c r="M106" s="82"/>
      <c r="N106" s="82"/>
      <c r="O106" s="82"/>
      <c r="P106" s="82"/>
    </row>
    <row r="107">
      <c r="A107" s="82"/>
      <c r="B107" s="184"/>
      <c r="C107" s="205"/>
      <c r="D107" s="82"/>
      <c r="E107" s="205"/>
      <c r="F107" s="205"/>
      <c r="G107" s="206"/>
      <c r="H107" s="205"/>
      <c r="I107" s="205"/>
      <c r="J107" s="205"/>
      <c r="K107" s="82"/>
      <c r="L107" s="82"/>
      <c r="M107" s="82"/>
      <c r="N107" s="82"/>
      <c r="O107" s="82"/>
      <c r="P107" s="82"/>
    </row>
    <row r="108">
      <c r="A108" s="82"/>
      <c r="B108" s="184"/>
      <c r="C108" s="205"/>
      <c r="D108" s="82"/>
      <c r="E108" s="205"/>
      <c r="F108" s="205"/>
      <c r="G108" s="206"/>
      <c r="H108" s="205"/>
      <c r="I108" s="205"/>
      <c r="J108" s="205"/>
      <c r="K108" s="82"/>
      <c r="L108" s="82"/>
      <c r="M108" s="82"/>
      <c r="N108" s="82"/>
      <c r="O108" s="82"/>
      <c r="P108" s="82"/>
    </row>
    <row r="109">
      <c r="A109" s="82"/>
      <c r="B109" s="184"/>
      <c r="C109" s="205"/>
      <c r="D109" s="82"/>
      <c r="E109" s="205"/>
      <c r="F109" s="205"/>
      <c r="G109" s="206"/>
      <c r="H109" s="205"/>
      <c r="I109" s="205"/>
      <c r="J109" s="205"/>
      <c r="K109" s="82"/>
      <c r="L109" s="82"/>
      <c r="M109" s="82"/>
      <c r="N109" s="82"/>
      <c r="O109" s="82"/>
      <c r="P109" s="82"/>
    </row>
    <row r="110">
      <c r="A110" s="82"/>
      <c r="B110" s="184"/>
      <c r="C110" s="205"/>
      <c r="D110" s="82"/>
      <c r="E110" s="205"/>
      <c r="F110" s="205"/>
      <c r="G110" s="206"/>
      <c r="H110" s="205"/>
      <c r="I110" s="205"/>
      <c r="J110" s="205"/>
      <c r="K110" s="82"/>
      <c r="L110" s="82"/>
      <c r="M110" s="82"/>
      <c r="N110" s="82"/>
      <c r="O110" s="82"/>
      <c r="P110" s="82"/>
    </row>
    <row r="111">
      <c r="A111" s="82"/>
      <c r="B111" s="184"/>
      <c r="C111" s="205"/>
      <c r="D111" s="82"/>
      <c r="E111" s="205"/>
      <c r="F111" s="205"/>
      <c r="G111" s="206"/>
      <c r="H111" s="205"/>
      <c r="I111" s="205"/>
      <c r="J111" s="205"/>
      <c r="K111" s="82"/>
      <c r="L111" s="82"/>
      <c r="M111" s="82"/>
      <c r="N111" s="82"/>
      <c r="O111" s="82"/>
      <c r="P111" s="82"/>
    </row>
    <row r="112">
      <c r="A112" s="82"/>
      <c r="B112" s="184"/>
      <c r="C112" s="205"/>
      <c r="D112" s="82"/>
      <c r="E112" s="205"/>
      <c r="F112" s="205"/>
      <c r="G112" s="206"/>
      <c r="H112" s="205"/>
      <c r="I112" s="205"/>
      <c r="J112" s="205"/>
      <c r="K112" s="82"/>
      <c r="L112" s="82"/>
      <c r="M112" s="82"/>
      <c r="N112" s="82"/>
      <c r="O112" s="82"/>
      <c r="P112" s="82"/>
    </row>
    <row r="113">
      <c r="A113" s="82"/>
      <c r="B113" s="184"/>
      <c r="C113" s="205"/>
      <c r="D113" s="82"/>
      <c r="E113" s="205"/>
      <c r="F113" s="205"/>
      <c r="G113" s="206"/>
      <c r="H113" s="205"/>
      <c r="I113" s="205"/>
      <c r="J113" s="205"/>
      <c r="K113" s="82"/>
      <c r="L113" s="82"/>
      <c r="M113" s="82"/>
      <c r="N113" s="82"/>
      <c r="O113" s="82"/>
      <c r="P113" s="82"/>
    </row>
    <row r="114">
      <c r="A114" s="82"/>
      <c r="B114" s="184"/>
      <c r="C114" s="205"/>
      <c r="D114" s="82"/>
      <c r="E114" s="205"/>
      <c r="F114" s="205"/>
      <c r="G114" s="206"/>
      <c r="H114" s="205"/>
      <c r="I114" s="205"/>
      <c r="J114" s="205"/>
      <c r="K114" s="82"/>
      <c r="L114" s="82"/>
      <c r="M114" s="82"/>
      <c r="N114" s="82"/>
      <c r="O114" s="82"/>
      <c r="P114" s="82"/>
    </row>
    <row r="115">
      <c r="A115" s="82"/>
      <c r="B115" s="184"/>
      <c r="C115" s="205"/>
      <c r="D115" s="82"/>
      <c r="E115" s="205"/>
      <c r="F115" s="205"/>
      <c r="G115" s="206"/>
      <c r="H115" s="205"/>
      <c r="I115" s="205"/>
      <c r="J115" s="205"/>
      <c r="K115" s="82"/>
      <c r="L115" s="82"/>
      <c r="M115" s="82"/>
      <c r="N115" s="82"/>
      <c r="O115" s="82"/>
      <c r="P115" s="82"/>
    </row>
    <row r="116">
      <c r="A116" s="82"/>
      <c r="B116" s="184"/>
      <c r="C116" s="205"/>
      <c r="D116" s="82"/>
      <c r="E116" s="205"/>
      <c r="F116" s="205"/>
      <c r="G116" s="206"/>
      <c r="H116" s="205"/>
      <c r="I116" s="205"/>
      <c r="J116" s="205"/>
      <c r="K116" s="82"/>
      <c r="L116" s="82"/>
      <c r="M116" s="82"/>
      <c r="N116" s="82"/>
      <c r="O116" s="82"/>
      <c r="P116" s="82"/>
    </row>
    <row r="117">
      <c r="A117" s="82"/>
      <c r="B117" s="184"/>
      <c r="C117" s="205"/>
      <c r="D117" s="82"/>
      <c r="E117" s="205"/>
      <c r="F117" s="205"/>
      <c r="G117" s="206"/>
      <c r="H117" s="205"/>
      <c r="I117" s="205"/>
      <c r="J117" s="205"/>
      <c r="K117" s="82"/>
      <c r="L117" s="82"/>
      <c r="M117" s="82"/>
      <c r="N117" s="82"/>
      <c r="O117" s="82"/>
      <c r="P117" s="82"/>
    </row>
    <row r="118">
      <c r="A118" s="82"/>
      <c r="B118" s="184"/>
      <c r="C118" s="205"/>
      <c r="D118" s="82"/>
      <c r="E118" s="205"/>
      <c r="F118" s="205"/>
      <c r="G118" s="206"/>
      <c r="H118" s="205"/>
      <c r="I118" s="205"/>
      <c r="J118" s="205"/>
      <c r="K118" s="82"/>
      <c r="L118" s="82"/>
      <c r="M118" s="82"/>
      <c r="N118" s="82"/>
      <c r="O118" s="82"/>
      <c r="P118" s="82"/>
    </row>
    <row r="119">
      <c r="A119" s="82"/>
      <c r="B119" s="184"/>
      <c r="C119" s="205"/>
      <c r="D119" s="82"/>
      <c r="E119" s="205"/>
      <c r="F119" s="205"/>
      <c r="G119" s="206"/>
      <c r="H119" s="205"/>
      <c r="I119" s="205"/>
      <c r="J119" s="205"/>
      <c r="K119" s="82"/>
      <c r="L119" s="82"/>
      <c r="M119" s="82"/>
      <c r="N119" s="82"/>
      <c r="O119" s="82"/>
      <c r="P119" s="82"/>
    </row>
    <row r="120">
      <c r="A120" s="82"/>
      <c r="B120" s="184"/>
      <c r="C120" s="205"/>
      <c r="D120" s="82"/>
      <c r="E120" s="205"/>
      <c r="F120" s="205"/>
      <c r="G120" s="206"/>
      <c r="H120" s="205"/>
      <c r="I120" s="205"/>
      <c r="J120" s="205"/>
      <c r="K120" s="82"/>
      <c r="L120" s="82"/>
      <c r="M120" s="82"/>
      <c r="N120" s="82"/>
      <c r="O120" s="82"/>
      <c r="P120" s="82"/>
    </row>
    <row r="121">
      <c r="A121" s="82"/>
      <c r="B121" s="184"/>
      <c r="C121" s="205"/>
      <c r="D121" s="82"/>
      <c r="E121" s="205"/>
      <c r="F121" s="205"/>
      <c r="G121" s="206"/>
      <c r="H121" s="205"/>
      <c r="I121" s="205"/>
      <c r="J121" s="205"/>
      <c r="K121" s="82"/>
      <c r="L121" s="82"/>
      <c r="M121" s="82"/>
      <c r="N121" s="82"/>
      <c r="O121" s="82"/>
      <c r="P121" s="82"/>
    </row>
    <row r="122">
      <c r="A122" s="82"/>
      <c r="B122" s="184"/>
      <c r="C122" s="205"/>
      <c r="D122" s="82"/>
      <c r="E122" s="205"/>
      <c r="F122" s="205"/>
      <c r="G122" s="206"/>
      <c r="H122" s="205"/>
      <c r="I122" s="205"/>
      <c r="J122" s="205"/>
      <c r="K122" s="82"/>
      <c r="L122" s="82"/>
      <c r="M122" s="82"/>
      <c r="N122" s="82"/>
      <c r="O122" s="82"/>
      <c r="P122" s="82"/>
    </row>
    <row r="123">
      <c r="A123" s="82"/>
      <c r="B123" s="184"/>
      <c r="C123" s="205"/>
      <c r="D123" s="82"/>
      <c r="E123" s="205"/>
      <c r="F123" s="205"/>
      <c r="G123" s="206"/>
      <c r="H123" s="205"/>
      <c r="I123" s="205"/>
      <c r="J123" s="205"/>
      <c r="K123" s="82"/>
      <c r="L123" s="82"/>
      <c r="M123" s="82"/>
      <c r="N123" s="82"/>
      <c r="O123" s="82"/>
      <c r="P123" s="82"/>
    </row>
    <row r="124">
      <c r="A124" s="82"/>
      <c r="B124" s="184"/>
      <c r="C124" s="205"/>
      <c r="D124" s="82"/>
      <c r="E124" s="205"/>
      <c r="F124" s="205"/>
      <c r="G124" s="206"/>
      <c r="H124" s="205"/>
      <c r="I124" s="205"/>
      <c r="J124" s="205"/>
      <c r="K124" s="82"/>
      <c r="L124" s="82"/>
      <c r="M124" s="82"/>
      <c r="N124" s="82"/>
      <c r="O124" s="82"/>
      <c r="P124" s="82"/>
    </row>
    <row r="125">
      <c r="A125" s="82"/>
      <c r="B125" s="184"/>
      <c r="C125" s="205"/>
      <c r="D125" s="82"/>
      <c r="E125" s="205"/>
      <c r="F125" s="205"/>
      <c r="G125" s="206"/>
      <c r="H125" s="205"/>
      <c r="I125" s="205"/>
      <c r="J125" s="205"/>
      <c r="K125" s="82"/>
      <c r="L125" s="82"/>
      <c r="M125" s="82"/>
      <c r="N125" s="82"/>
      <c r="O125" s="82"/>
      <c r="P125" s="82"/>
    </row>
    <row r="126">
      <c r="A126" s="82"/>
      <c r="B126" s="184"/>
      <c r="C126" s="205"/>
      <c r="D126" s="82"/>
      <c r="E126" s="205"/>
      <c r="F126" s="205"/>
      <c r="G126" s="206"/>
      <c r="H126" s="205"/>
      <c r="I126" s="205"/>
      <c r="J126" s="205"/>
      <c r="K126" s="82"/>
      <c r="L126" s="82"/>
      <c r="M126" s="82"/>
      <c r="N126" s="82"/>
      <c r="O126" s="82"/>
      <c r="P126" s="82"/>
    </row>
    <row r="127">
      <c r="A127" s="82"/>
      <c r="B127" s="184"/>
      <c r="C127" s="205"/>
      <c r="D127" s="82"/>
      <c r="E127" s="205"/>
      <c r="F127" s="205"/>
      <c r="G127" s="206"/>
      <c r="H127" s="205"/>
      <c r="I127" s="205"/>
      <c r="J127" s="205"/>
      <c r="K127" s="82"/>
      <c r="L127" s="82"/>
      <c r="M127" s="82"/>
      <c r="N127" s="82"/>
      <c r="O127" s="82"/>
      <c r="P127" s="82"/>
    </row>
    <row r="128">
      <c r="A128" s="82"/>
      <c r="B128" s="184"/>
      <c r="C128" s="205"/>
      <c r="D128" s="82"/>
      <c r="E128" s="205"/>
      <c r="F128" s="205"/>
      <c r="G128" s="206"/>
      <c r="H128" s="205"/>
      <c r="I128" s="205"/>
      <c r="J128" s="205"/>
      <c r="K128" s="82"/>
      <c r="L128" s="82"/>
      <c r="M128" s="82"/>
      <c r="N128" s="82"/>
      <c r="O128" s="82"/>
      <c r="P128" s="82"/>
    </row>
  </sheetData>
  <dataValidations>
    <dataValidation type="custom" allowBlank="1" showDropDown="1" sqref="E2:E53">
      <formula1>OR(NOT(ISERROR(DATEVALUE(E2))), AND(ISNUMBER(E2), LEFT(CELL("format", E2))="D"))</formula1>
    </dataValidation>
    <dataValidation type="custom" allowBlank="1" showDropDown="1" sqref="H2:H53">
      <formula1>AND(ISNUMBER(H2),(NOT(OR(NOT(ISERROR(DATEVALUE(H2))), AND(ISNUMBER(H2), LEFT(CELL("format", H2))="D")))))</formula1>
    </dataValidation>
  </dataValidations>
  <hyperlinks>
    <hyperlink r:id="rId2" ref="K2"/>
    <hyperlink r:id="rId3" ref="K3"/>
    <hyperlink r:id="rId4" ref="K4"/>
    <hyperlink r:id="rId5" ref="K5"/>
    <hyperlink r:id="rId6" ref="K7"/>
    <hyperlink r:id="rId7" ref="K8"/>
    <hyperlink r:id="rId8" ref="K9"/>
    <hyperlink r:id="rId9" ref="K10"/>
    <hyperlink r:id="rId10" ref="K11"/>
    <hyperlink r:id="rId11" ref="K12"/>
    <hyperlink r:id="rId12" ref="K14"/>
    <hyperlink r:id="rId13" ref="K15"/>
    <hyperlink r:id="rId14" ref="K16"/>
    <hyperlink r:id="rId15" ref="K18"/>
    <hyperlink r:id="rId16" ref="K19"/>
    <hyperlink r:id="rId17" ref="K20"/>
    <hyperlink r:id="rId18" ref="K21"/>
    <hyperlink r:id="rId19" ref="K22"/>
    <hyperlink r:id="rId20" ref="K23"/>
    <hyperlink r:id="rId21" ref="K24"/>
    <hyperlink r:id="rId22" ref="K25"/>
    <hyperlink r:id="rId23" ref="K26"/>
    <hyperlink r:id="rId24" ref="K27"/>
    <hyperlink r:id="rId25" ref="K28"/>
    <hyperlink r:id="rId26" ref="K29"/>
    <hyperlink r:id="rId27" ref="K30"/>
    <hyperlink r:id="rId28" ref="K31"/>
    <hyperlink r:id="rId29" ref="K32"/>
    <hyperlink r:id="rId30" ref="K33"/>
    <hyperlink r:id="rId31" ref="K34"/>
    <hyperlink r:id="rId32" ref="K35"/>
    <hyperlink r:id="rId33" ref="K37"/>
    <hyperlink r:id="rId34" ref="K38"/>
    <hyperlink r:id="rId35" ref="K39"/>
    <hyperlink r:id="rId36" ref="K40"/>
    <hyperlink r:id="rId37" ref="K41"/>
    <hyperlink r:id="rId38" ref="K42"/>
    <hyperlink r:id="rId39" ref="K44"/>
    <hyperlink r:id="rId40" ref="K45"/>
    <hyperlink r:id="rId41" ref="K47"/>
    <hyperlink r:id="rId42" ref="K49"/>
    <hyperlink r:id="rId43" ref="K50"/>
    <hyperlink r:id="rId44" ref="K51"/>
    <hyperlink r:id="rId45" ref="K52"/>
  </hyperlinks>
  <drawing r:id="rId46"/>
  <legacyDrawing r:id="rId47"/>
  <tableParts count="1">
    <tablePart r:id="rId4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7.0"/>
    <col customWidth="1" min="2" max="2" width="18.88"/>
    <col customWidth="1" min="3" max="3" width="7.0"/>
    <col customWidth="1" min="4" max="5" width="7.25"/>
    <col customWidth="1" min="6" max="10" width="7.75"/>
    <col customWidth="1" min="11" max="11" width="9.88"/>
    <col customWidth="1" min="12" max="12" width="9.63"/>
    <col customWidth="1" min="13" max="13" width="7.88"/>
    <col customWidth="1" min="14" max="16" width="8.63"/>
    <col customWidth="1" min="17" max="17" width="9.0"/>
    <col customWidth="1" min="18" max="26" width="9.38"/>
  </cols>
  <sheetData>
    <row r="1" ht="33.0" customHeight="1">
      <c r="A1" s="2" t="s">
        <v>0</v>
      </c>
      <c r="B1" s="3" t="s">
        <v>2</v>
      </c>
      <c r="C1" s="5" t="s">
        <v>4</v>
      </c>
      <c r="D1" s="6"/>
      <c r="E1" s="6"/>
      <c r="F1" s="6"/>
      <c r="G1" s="6"/>
      <c r="H1" s="6"/>
      <c r="I1" s="6"/>
      <c r="J1" s="7"/>
      <c r="K1" s="9" t="s">
        <v>6</v>
      </c>
      <c r="L1" s="11"/>
      <c r="M1" s="5" t="s">
        <v>7</v>
      </c>
      <c r="N1" s="6"/>
      <c r="O1" s="6"/>
      <c r="P1" s="6"/>
      <c r="Q1" s="6"/>
      <c r="R1" s="6"/>
      <c r="S1" s="6"/>
      <c r="T1" s="6"/>
      <c r="U1" s="6"/>
      <c r="V1" s="6"/>
      <c r="W1" s="6"/>
      <c r="X1" s="7"/>
      <c r="Y1" s="9" t="s">
        <v>6</v>
      </c>
      <c r="Z1" s="11"/>
    </row>
    <row r="2" ht="33.0" customHeight="1">
      <c r="A2" s="14"/>
      <c r="B2" s="14"/>
      <c r="C2" s="16" t="s">
        <v>13</v>
      </c>
      <c r="D2" s="17" t="s">
        <v>14</v>
      </c>
      <c r="E2" s="18" t="s">
        <v>15</v>
      </c>
      <c r="F2" s="6"/>
      <c r="G2" s="7"/>
      <c r="H2" s="18" t="s">
        <v>16</v>
      </c>
      <c r="I2" s="6"/>
      <c r="J2" s="7"/>
      <c r="K2" s="20" t="s">
        <v>17</v>
      </c>
      <c r="L2" s="2" t="s">
        <v>19</v>
      </c>
      <c r="M2" s="18" t="s">
        <v>13</v>
      </c>
      <c r="N2" s="6"/>
      <c r="O2" s="7"/>
      <c r="P2" s="18" t="s">
        <v>14</v>
      </c>
      <c r="Q2" s="6"/>
      <c r="R2" s="7"/>
      <c r="S2" s="18" t="s">
        <v>15</v>
      </c>
      <c r="T2" s="6"/>
      <c r="U2" s="7"/>
      <c r="V2" s="18" t="s">
        <v>16</v>
      </c>
      <c r="W2" s="6"/>
      <c r="X2" s="7"/>
      <c r="Y2" s="20" t="s">
        <v>17</v>
      </c>
      <c r="Z2" s="2" t="s">
        <v>19</v>
      </c>
    </row>
    <row r="3" ht="33.0" customHeight="1">
      <c r="A3" s="23"/>
      <c r="B3" s="23"/>
      <c r="C3" s="16" t="s">
        <v>22</v>
      </c>
      <c r="D3" s="17" t="s">
        <v>23</v>
      </c>
      <c r="E3" s="24">
        <v>46251.0</v>
      </c>
      <c r="F3" s="24">
        <v>46253.0</v>
      </c>
      <c r="G3" s="24">
        <v>46256.0</v>
      </c>
      <c r="H3" s="24">
        <v>46258.0</v>
      </c>
      <c r="I3" s="24">
        <v>46260.0</v>
      </c>
      <c r="J3" s="24">
        <v>46263.0</v>
      </c>
      <c r="K3" s="23"/>
      <c r="L3" s="23"/>
      <c r="M3" s="24">
        <v>46265.0</v>
      </c>
      <c r="N3" s="24">
        <v>46267.0</v>
      </c>
      <c r="O3" s="24">
        <v>46270.0</v>
      </c>
      <c r="P3" s="24">
        <v>46272.0</v>
      </c>
      <c r="Q3" s="24">
        <v>46274.0</v>
      </c>
      <c r="R3" s="24">
        <v>46277.0</v>
      </c>
      <c r="S3" s="24">
        <v>46279.0</v>
      </c>
      <c r="T3" s="24">
        <v>46281.0</v>
      </c>
      <c r="U3" s="24">
        <v>46284.0</v>
      </c>
      <c r="V3" s="24">
        <v>46286.0</v>
      </c>
      <c r="W3" s="24">
        <v>46288.0</v>
      </c>
      <c r="X3" s="24">
        <v>46291.0</v>
      </c>
      <c r="Y3" s="23"/>
      <c r="Z3" s="23"/>
    </row>
    <row r="4">
      <c r="A4" s="28">
        <v>1.0</v>
      </c>
      <c r="B4" s="29" t="s">
        <v>27</v>
      </c>
      <c r="C4" s="30"/>
      <c r="D4" s="33"/>
      <c r="E4" s="33"/>
      <c r="F4" s="33"/>
      <c r="G4" s="33"/>
      <c r="H4" s="33"/>
      <c r="I4" s="33"/>
      <c r="J4" s="33"/>
      <c r="K4" s="36"/>
      <c r="L4" s="36"/>
      <c r="M4" s="33"/>
      <c r="N4" s="33"/>
      <c r="O4" s="33"/>
      <c r="P4" s="37"/>
      <c r="Q4" s="38"/>
      <c r="R4" s="38"/>
      <c r="S4" s="33"/>
      <c r="T4" s="33"/>
      <c r="U4" s="33"/>
      <c r="V4" s="37"/>
      <c r="W4" s="38"/>
      <c r="X4" s="38"/>
      <c r="Y4" s="36"/>
      <c r="Z4" s="36"/>
    </row>
    <row r="5">
      <c r="A5" s="39">
        <v>2.0</v>
      </c>
      <c r="B5" s="43" t="s">
        <v>43</v>
      </c>
      <c r="C5" s="44">
        <v>3.5</v>
      </c>
      <c r="D5" s="44">
        <v>4.8</v>
      </c>
      <c r="E5" s="45"/>
      <c r="F5" s="44">
        <v>2.0</v>
      </c>
      <c r="G5" s="44"/>
      <c r="H5" s="44"/>
      <c r="I5" s="44">
        <v>5.0</v>
      </c>
      <c r="J5" s="44"/>
      <c r="K5" s="54">
        <f t="shared" ref="K5:K13" si="1">SUM(C5:J5)</f>
        <v>15.3</v>
      </c>
      <c r="L5" s="60">
        <f t="shared" ref="L5:L13" si="2">AVERAGE(C5:J5)</f>
        <v>3.825</v>
      </c>
      <c r="M5" s="45"/>
      <c r="N5" s="44">
        <v>3.0</v>
      </c>
      <c r="O5" s="44"/>
      <c r="P5" s="63"/>
      <c r="Q5" s="64"/>
      <c r="R5" s="64"/>
      <c r="S5" s="45"/>
      <c r="T5" s="44"/>
      <c r="U5" s="44"/>
      <c r="V5" s="63"/>
      <c r="W5" s="64"/>
      <c r="X5" s="64"/>
      <c r="Y5" s="54">
        <f t="shared" ref="Y5:Y13" si="3">SUM(M5:X5)</f>
        <v>3</v>
      </c>
      <c r="Z5" s="66">
        <f t="shared" ref="Z5:Z54" si="4">AVERAGE(M5:X5)</f>
        <v>3</v>
      </c>
    </row>
    <row r="6">
      <c r="A6" s="67">
        <v>3.0</v>
      </c>
      <c r="B6" s="68" t="s">
        <v>57</v>
      </c>
      <c r="C6" s="69">
        <v>5.5</v>
      </c>
      <c r="D6" s="71">
        <v>1.8</v>
      </c>
      <c r="E6" s="71"/>
      <c r="F6" s="71"/>
      <c r="G6" s="71"/>
      <c r="H6" s="72"/>
      <c r="I6" s="71">
        <v>6.8</v>
      </c>
      <c r="J6" s="71">
        <v>5.0</v>
      </c>
      <c r="K6" s="54">
        <f t="shared" si="1"/>
        <v>19.1</v>
      </c>
      <c r="L6" s="60">
        <f t="shared" si="2"/>
        <v>4.775</v>
      </c>
      <c r="M6" s="71"/>
      <c r="N6" s="71"/>
      <c r="O6" s="71"/>
      <c r="P6" s="74"/>
      <c r="Q6" s="75"/>
      <c r="R6" s="75"/>
      <c r="S6" s="71"/>
      <c r="T6" s="71"/>
      <c r="U6" s="71"/>
      <c r="V6" s="74"/>
      <c r="W6" s="75"/>
      <c r="X6" s="75"/>
      <c r="Y6" s="54">
        <f t="shared" si="3"/>
        <v>0</v>
      </c>
      <c r="Z6" s="77" t="str">
        <f t="shared" si="4"/>
        <v>#DIV/0!</v>
      </c>
    </row>
    <row r="7">
      <c r="A7" s="39">
        <v>4.0</v>
      </c>
      <c r="B7" s="43" t="s">
        <v>62</v>
      </c>
      <c r="C7" s="44">
        <v>3.8</v>
      </c>
      <c r="D7" s="44">
        <v>2.5</v>
      </c>
      <c r="E7" s="44">
        <v>2.0</v>
      </c>
      <c r="F7" s="44"/>
      <c r="G7" s="44"/>
      <c r="H7" s="44">
        <v>2.9</v>
      </c>
      <c r="I7" s="44"/>
      <c r="J7" s="44"/>
      <c r="K7" s="54">
        <f t="shared" si="1"/>
        <v>11.2</v>
      </c>
      <c r="L7" s="60">
        <f t="shared" si="2"/>
        <v>2.8</v>
      </c>
      <c r="M7" s="44">
        <v>2.6</v>
      </c>
      <c r="N7" s="44"/>
      <c r="O7" s="44"/>
      <c r="P7" s="83"/>
      <c r="Q7" s="83"/>
      <c r="R7" s="83"/>
      <c r="S7" s="44"/>
      <c r="T7" s="44"/>
      <c r="U7" s="44"/>
      <c r="V7" s="83"/>
      <c r="W7" s="83"/>
      <c r="X7" s="83"/>
      <c r="Y7" s="54">
        <f t="shared" si="3"/>
        <v>2.6</v>
      </c>
      <c r="Z7" s="66">
        <f t="shared" si="4"/>
        <v>2.6</v>
      </c>
    </row>
    <row r="8">
      <c r="A8" s="67">
        <v>5.0</v>
      </c>
      <c r="B8" s="68" t="s">
        <v>68</v>
      </c>
      <c r="C8" s="72">
        <v>14.5</v>
      </c>
      <c r="D8" s="72">
        <v>7.4</v>
      </c>
      <c r="E8" s="72">
        <v>3.5</v>
      </c>
      <c r="F8" s="72"/>
      <c r="G8" s="72"/>
      <c r="H8" s="72" t="s">
        <v>70</v>
      </c>
      <c r="I8" s="72"/>
      <c r="J8" s="72"/>
      <c r="K8" s="54">
        <f t="shared" si="1"/>
        <v>25.4</v>
      </c>
      <c r="L8" s="60">
        <f t="shared" si="2"/>
        <v>8.466666667</v>
      </c>
      <c r="M8" s="72">
        <v>4.5</v>
      </c>
      <c r="N8" s="72"/>
      <c r="O8" s="72"/>
      <c r="P8" s="85"/>
      <c r="Q8" s="85"/>
      <c r="R8" s="85"/>
      <c r="S8" s="72"/>
      <c r="T8" s="72"/>
      <c r="U8" s="72"/>
      <c r="V8" s="85"/>
      <c r="W8" s="85"/>
      <c r="X8" s="85"/>
      <c r="Y8" s="54">
        <f t="shared" si="3"/>
        <v>4.5</v>
      </c>
      <c r="Z8" s="77">
        <f t="shared" si="4"/>
        <v>4.5</v>
      </c>
    </row>
    <row r="9">
      <c r="A9" s="39">
        <v>6.0</v>
      </c>
      <c r="B9" s="43" t="s">
        <v>75</v>
      </c>
      <c r="C9" s="87">
        <v>6.4</v>
      </c>
      <c r="D9" s="88">
        <v>7.0</v>
      </c>
      <c r="E9" s="88"/>
      <c r="F9" s="88"/>
      <c r="G9" s="88">
        <v>8.4</v>
      </c>
      <c r="H9" s="44"/>
      <c r="I9" s="88"/>
      <c r="J9" s="88">
        <v>4.3</v>
      </c>
      <c r="K9" s="54">
        <f t="shared" si="1"/>
        <v>26.1</v>
      </c>
      <c r="L9" s="60">
        <f t="shared" si="2"/>
        <v>6.525</v>
      </c>
      <c r="M9" s="88"/>
      <c r="N9" s="88"/>
      <c r="O9" s="88"/>
      <c r="P9" s="83"/>
      <c r="Q9" s="83"/>
      <c r="R9" s="83"/>
      <c r="S9" s="88"/>
      <c r="T9" s="88"/>
      <c r="U9" s="88"/>
      <c r="V9" s="83"/>
      <c r="W9" s="83"/>
      <c r="X9" s="83"/>
      <c r="Y9" s="54">
        <f t="shared" si="3"/>
        <v>0</v>
      </c>
      <c r="Z9" s="66" t="str">
        <f t="shared" si="4"/>
        <v>#DIV/0!</v>
      </c>
    </row>
    <row r="10">
      <c r="A10" s="67">
        <v>7.0</v>
      </c>
      <c r="B10" s="68" t="s">
        <v>79</v>
      </c>
      <c r="C10" s="72"/>
      <c r="D10" s="72">
        <v>3.3</v>
      </c>
      <c r="E10" s="72">
        <v>1.8</v>
      </c>
      <c r="F10" s="72"/>
      <c r="G10" s="72"/>
      <c r="H10" s="72">
        <v>3.8</v>
      </c>
      <c r="I10" s="89"/>
      <c r="J10" s="72"/>
      <c r="K10" s="54">
        <f t="shared" si="1"/>
        <v>8.9</v>
      </c>
      <c r="L10" s="60">
        <f t="shared" si="2"/>
        <v>2.966666667</v>
      </c>
      <c r="M10" s="72">
        <v>6.8</v>
      </c>
      <c r="N10" s="72"/>
      <c r="O10" s="72"/>
      <c r="P10" s="85"/>
      <c r="Q10" s="85"/>
      <c r="R10" s="85"/>
      <c r="S10" s="72"/>
      <c r="T10" s="72"/>
      <c r="U10" s="72"/>
      <c r="V10" s="85"/>
      <c r="W10" s="85"/>
      <c r="X10" s="85"/>
      <c r="Y10" s="54">
        <f t="shared" si="3"/>
        <v>6.8</v>
      </c>
      <c r="Z10" s="77">
        <f t="shared" si="4"/>
        <v>6.8</v>
      </c>
    </row>
    <row r="11" ht="16.5" customHeight="1">
      <c r="A11" s="39">
        <v>8.0</v>
      </c>
      <c r="B11" s="43" t="s">
        <v>87</v>
      </c>
      <c r="C11" s="87">
        <v>8.7</v>
      </c>
      <c r="D11" s="88">
        <v>8.9</v>
      </c>
      <c r="E11" s="94"/>
      <c r="F11" s="88"/>
      <c r="G11" s="44">
        <v>4.8</v>
      </c>
      <c r="H11" s="44"/>
      <c r="I11" s="44">
        <v>6.6</v>
      </c>
      <c r="J11" s="44"/>
      <c r="K11" s="54">
        <f t="shared" si="1"/>
        <v>29</v>
      </c>
      <c r="L11" s="60">
        <f t="shared" si="2"/>
        <v>7.25</v>
      </c>
      <c r="M11" s="44">
        <v>6.7</v>
      </c>
      <c r="N11" s="88"/>
      <c r="O11" s="44"/>
      <c r="P11" s="83"/>
      <c r="Q11" s="83"/>
      <c r="R11" s="83"/>
      <c r="S11" s="44"/>
      <c r="T11" s="88"/>
      <c r="U11" s="44"/>
      <c r="V11" s="83"/>
      <c r="W11" s="83"/>
      <c r="X11" s="83"/>
      <c r="Y11" s="54">
        <f t="shared" si="3"/>
        <v>6.7</v>
      </c>
      <c r="Z11" s="66">
        <f t="shared" si="4"/>
        <v>6.7</v>
      </c>
    </row>
    <row r="12">
      <c r="A12" s="67">
        <v>9.0</v>
      </c>
      <c r="B12" s="68" t="s">
        <v>92</v>
      </c>
      <c r="C12" s="69"/>
      <c r="D12" s="71">
        <v>4.8</v>
      </c>
      <c r="E12" s="71"/>
      <c r="F12" s="71"/>
      <c r="G12" s="71">
        <v>7.0</v>
      </c>
      <c r="H12" s="72"/>
      <c r="I12" s="71"/>
      <c r="J12" s="71">
        <v>4.3</v>
      </c>
      <c r="K12" s="54">
        <f t="shared" si="1"/>
        <v>16.1</v>
      </c>
      <c r="L12" s="60">
        <f t="shared" si="2"/>
        <v>5.366666667</v>
      </c>
      <c r="M12" s="71"/>
      <c r="N12" s="71"/>
      <c r="O12" s="71"/>
      <c r="P12" s="85"/>
      <c r="Q12" s="85"/>
      <c r="R12" s="85"/>
      <c r="S12" s="71"/>
      <c r="T12" s="71"/>
      <c r="U12" s="71"/>
      <c r="V12" s="85"/>
      <c r="W12" s="85"/>
      <c r="X12" s="85"/>
      <c r="Y12" s="54">
        <f t="shared" si="3"/>
        <v>0</v>
      </c>
      <c r="Z12" s="77" t="str">
        <f t="shared" si="4"/>
        <v>#DIV/0!</v>
      </c>
    </row>
    <row r="13">
      <c r="A13" s="39">
        <v>10.0</v>
      </c>
      <c r="B13" s="43" t="s">
        <v>97</v>
      </c>
      <c r="C13" s="44">
        <v>13.0</v>
      </c>
      <c r="D13" s="44">
        <v>5.0</v>
      </c>
      <c r="F13" s="44">
        <v>13.0</v>
      </c>
      <c r="G13" s="44"/>
      <c r="H13" s="44"/>
      <c r="I13" s="44">
        <v>12.0</v>
      </c>
      <c r="J13" s="44"/>
      <c r="K13" s="54">
        <f t="shared" si="1"/>
        <v>43</v>
      </c>
      <c r="L13" s="60">
        <f t="shared" si="2"/>
        <v>10.75</v>
      </c>
      <c r="M13" s="100"/>
      <c r="N13" s="44">
        <v>16.2</v>
      </c>
      <c r="O13" s="44"/>
      <c r="P13" s="102"/>
      <c r="Q13" s="83"/>
      <c r="R13" s="83"/>
      <c r="S13" s="100"/>
      <c r="T13" s="44"/>
      <c r="U13" s="44"/>
      <c r="V13" s="102"/>
      <c r="W13" s="83"/>
      <c r="X13" s="83"/>
      <c r="Y13" s="54">
        <f t="shared" si="3"/>
        <v>16.2</v>
      </c>
      <c r="Z13" s="66">
        <f t="shared" si="4"/>
        <v>16.2</v>
      </c>
    </row>
    <row r="14">
      <c r="A14" s="105">
        <v>11.0</v>
      </c>
      <c r="B14" s="29" t="s">
        <v>65</v>
      </c>
      <c r="C14" s="30"/>
      <c r="D14" s="106"/>
      <c r="E14" s="106"/>
      <c r="F14" s="106"/>
      <c r="G14" s="106"/>
      <c r="H14" s="108"/>
      <c r="I14" s="106"/>
      <c r="J14" s="106"/>
      <c r="K14" s="110"/>
      <c r="L14" s="110"/>
      <c r="M14" s="106"/>
      <c r="N14" s="106"/>
      <c r="O14" s="106"/>
      <c r="P14" s="112"/>
      <c r="Q14" s="112"/>
      <c r="R14" s="112"/>
      <c r="S14" s="106"/>
      <c r="T14" s="106"/>
      <c r="U14" s="106"/>
      <c r="V14" s="112"/>
      <c r="W14" s="112"/>
      <c r="X14" s="112"/>
      <c r="Y14" s="110"/>
      <c r="Z14" s="77" t="str">
        <f t="shared" si="4"/>
        <v>#DIV/0!</v>
      </c>
    </row>
    <row r="15">
      <c r="A15" s="39">
        <v>12.0</v>
      </c>
      <c r="B15" s="43" t="s">
        <v>108</v>
      </c>
      <c r="C15" s="87">
        <v>8.5</v>
      </c>
      <c r="D15" s="88">
        <v>9.5</v>
      </c>
      <c r="F15" s="88">
        <v>7.0</v>
      </c>
      <c r="G15" s="88"/>
      <c r="H15" s="44"/>
      <c r="I15" s="88">
        <v>4.0</v>
      </c>
      <c r="J15" s="88"/>
      <c r="K15" s="54">
        <f t="shared" ref="K15:K54" si="5">SUM(C15:J15)</f>
        <v>29</v>
      </c>
      <c r="L15" s="60">
        <f t="shared" ref="L15:L43" si="6">AVERAGE(C15:J15)</f>
        <v>7.25</v>
      </c>
      <c r="M15" s="100"/>
      <c r="N15" s="88">
        <v>8.3</v>
      </c>
      <c r="O15" s="88"/>
      <c r="P15" s="102"/>
      <c r="Q15" s="83"/>
      <c r="R15" s="83"/>
      <c r="S15" s="100"/>
      <c r="T15" s="88"/>
      <c r="U15" s="88"/>
      <c r="V15" s="102"/>
      <c r="W15" s="83"/>
      <c r="X15" s="83"/>
      <c r="Y15" s="54">
        <f t="shared" ref="Y15:Y54" si="7">SUM(M15:X15)</f>
        <v>8.3</v>
      </c>
      <c r="Z15" s="66">
        <f t="shared" si="4"/>
        <v>8.3</v>
      </c>
    </row>
    <row r="16">
      <c r="A16" s="67">
        <v>13.0</v>
      </c>
      <c r="B16" s="68" t="s">
        <v>113</v>
      </c>
      <c r="C16" s="69">
        <v>12.0</v>
      </c>
      <c r="D16" s="71">
        <v>13.0</v>
      </c>
      <c r="F16" s="71">
        <v>12.0</v>
      </c>
      <c r="G16" s="71"/>
      <c r="H16" s="72"/>
      <c r="I16" s="71">
        <v>6.0</v>
      </c>
      <c r="J16" s="71"/>
      <c r="K16" s="54">
        <f t="shared" si="5"/>
        <v>43</v>
      </c>
      <c r="L16" s="60">
        <f t="shared" si="6"/>
        <v>10.75</v>
      </c>
      <c r="M16" s="116"/>
      <c r="N16" s="71">
        <v>7.6</v>
      </c>
      <c r="O16" s="71"/>
      <c r="P16" s="117"/>
      <c r="Q16" s="85"/>
      <c r="R16" s="85"/>
      <c r="S16" s="116"/>
      <c r="T16" s="71"/>
      <c r="U16" s="71"/>
      <c r="V16" s="117"/>
      <c r="W16" s="85"/>
      <c r="X16" s="85"/>
      <c r="Y16" s="54">
        <f t="shared" si="7"/>
        <v>7.6</v>
      </c>
      <c r="Z16" s="77">
        <f t="shared" si="4"/>
        <v>7.6</v>
      </c>
    </row>
    <row r="17">
      <c r="A17" s="39">
        <v>14.0</v>
      </c>
      <c r="B17" s="43" t="s">
        <v>118</v>
      </c>
      <c r="C17" s="44"/>
      <c r="D17" s="44">
        <v>6.0</v>
      </c>
      <c r="E17" s="44">
        <v>0.0</v>
      </c>
      <c r="F17" s="44"/>
      <c r="G17" s="44"/>
      <c r="H17" s="44"/>
      <c r="I17" s="44">
        <v>6.0</v>
      </c>
      <c r="J17" s="44"/>
      <c r="K17" s="54">
        <f t="shared" si="5"/>
        <v>12</v>
      </c>
      <c r="L17" s="60">
        <f t="shared" si="6"/>
        <v>4</v>
      </c>
      <c r="M17" s="44">
        <v>5.7</v>
      </c>
      <c r="N17" s="44"/>
      <c r="O17" s="44"/>
      <c r="P17" s="83"/>
      <c r="Q17" s="83"/>
      <c r="R17" s="83"/>
      <c r="S17" s="44"/>
      <c r="T17" s="44"/>
      <c r="U17" s="44"/>
      <c r="V17" s="83"/>
      <c r="W17" s="83"/>
      <c r="X17" s="83"/>
      <c r="Y17" s="54">
        <f t="shared" si="7"/>
        <v>5.7</v>
      </c>
      <c r="Z17" s="66">
        <f t="shared" si="4"/>
        <v>5.7</v>
      </c>
    </row>
    <row r="18">
      <c r="A18" s="67">
        <v>15.0</v>
      </c>
      <c r="B18" s="68" t="s">
        <v>124</v>
      </c>
      <c r="C18" s="69">
        <v>10.3</v>
      </c>
      <c r="D18" s="71">
        <v>13.5</v>
      </c>
      <c r="E18" s="71"/>
      <c r="F18" s="71"/>
      <c r="G18" s="71"/>
      <c r="H18" s="72"/>
      <c r="I18" s="71"/>
      <c r="J18" s="71">
        <v>8.9</v>
      </c>
      <c r="K18" s="54">
        <f t="shared" si="5"/>
        <v>32.7</v>
      </c>
      <c r="L18" s="60">
        <f t="shared" si="6"/>
        <v>10.9</v>
      </c>
      <c r="M18" s="71"/>
      <c r="N18" s="71"/>
      <c r="O18" s="71"/>
      <c r="P18" s="85"/>
      <c r="Q18" s="85"/>
      <c r="R18" s="85"/>
      <c r="S18" s="71"/>
      <c r="T18" s="71"/>
      <c r="U18" s="71"/>
      <c r="V18" s="85"/>
      <c r="W18" s="85"/>
      <c r="X18" s="85"/>
      <c r="Y18" s="54">
        <f t="shared" si="7"/>
        <v>0</v>
      </c>
      <c r="Z18" s="77" t="str">
        <f t="shared" si="4"/>
        <v>#DIV/0!</v>
      </c>
    </row>
    <row r="19">
      <c r="A19" s="39">
        <v>16.0</v>
      </c>
      <c r="B19" s="43" t="s">
        <v>129</v>
      </c>
      <c r="C19" s="87">
        <v>4.6</v>
      </c>
      <c r="D19" s="88">
        <v>7.5</v>
      </c>
      <c r="F19" s="88">
        <v>6.0</v>
      </c>
      <c r="G19" s="88"/>
      <c r="H19" s="44"/>
      <c r="I19" s="88">
        <v>7.0</v>
      </c>
      <c r="J19" s="88"/>
      <c r="K19" s="54">
        <f t="shared" si="5"/>
        <v>25.1</v>
      </c>
      <c r="L19" s="60">
        <f t="shared" si="6"/>
        <v>6.275</v>
      </c>
      <c r="M19" s="100"/>
      <c r="N19" s="88">
        <v>8.5</v>
      </c>
      <c r="O19" s="88"/>
      <c r="P19" s="102"/>
      <c r="Q19" s="83"/>
      <c r="R19" s="83"/>
      <c r="S19" s="100"/>
      <c r="T19" s="88"/>
      <c r="U19" s="88"/>
      <c r="V19" s="102"/>
      <c r="W19" s="83"/>
      <c r="X19" s="83"/>
      <c r="Y19" s="54">
        <f t="shared" si="7"/>
        <v>8.5</v>
      </c>
      <c r="Z19" s="66">
        <f t="shared" si="4"/>
        <v>8.5</v>
      </c>
    </row>
    <row r="20">
      <c r="A20" s="67">
        <v>17.0</v>
      </c>
      <c r="B20" s="68" t="s">
        <v>136</v>
      </c>
      <c r="C20" s="72"/>
      <c r="D20" s="72">
        <v>4.9</v>
      </c>
      <c r="E20" s="72"/>
      <c r="F20" s="72"/>
      <c r="G20" s="72">
        <v>3.9</v>
      </c>
      <c r="H20" s="72"/>
      <c r="I20" s="72"/>
      <c r="J20" s="94"/>
      <c r="K20" s="54">
        <f t="shared" si="5"/>
        <v>8.8</v>
      </c>
      <c r="L20" s="60">
        <f t="shared" si="6"/>
        <v>4.4</v>
      </c>
      <c r="M20" s="72">
        <v>4.3</v>
      </c>
      <c r="N20" s="72"/>
      <c r="O20" s="72"/>
      <c r="P20" s="74"/>
      <c r="Q20" s="75"/>
      <c r="R20" s="75"/>
      <c r="S20" s="72"/>
      <c r="T20" s="72"/>
      <c r="U20" s="72"/>
      <c r="V20" s="74"/>
      <c r="W20" s="75"/>
      <c r="X20" s="75"/>
      <c r="Y20" s="54">
        <f t="shared" si="7"/>
        <v>4.3</v>
      </c>
      <c r="Z20" s="77">
        <f t="shared" si="4"/>
        <v>4.3</v>
      </c>
    </row>
    <row r="21">
      <c r="A21" s="39">
        <v>18.0</v>
      </c>
      <c r="B21" s="43" t="s">
        <v>140</v>
      </c>
      <c r="C21" s="87">
        <v>4.8</v>
      </c>
      <c r="D21" s="88">
        <v>7.0</v>
      </c>
      <c r="E21" s="88">
        <v>6.0</v>
      </c>
      <c r="F21" s="88"/>
      <c r="G21" s="88">
        <v>6.0</v>
      </c>
      <c r="H21" s="44"/>
      <c r="I21" s="88"/>
      <c r="J21" s="88">
        <v>3.4</v>
      </c>
      <c r="K21" s="54">
        <f t="shared" si="5"/>
        <v>27.2</v>
      </c>
      <c r="L21" s="60">
        <f t="shared" si="6"/>
        <v>5.44</v>
      </c>
      <c r="M21" s="88"/>
      <c r="N21" s="88"/>
      <c r="O21" s="88"/>
      <c r="P21" s="126"/>
      <c r="Q21" s="64"/>
      <c r="R21" s="64"/>
      <c r="S21" s="88"/>
      <c r="T21" s="88"/>
      <c r="U21" s="88"/>
      <c r="V21" s="126"/>
      <c r="W21" s="64"/>
      <c r="X21" s="64"/>
      <c r="Y21" s="54">
        <f t="shared" si="7"/>
        <v>0</v>
      </c>
      <c r="Z21" s="66" t="str">
        <f t="shared" si="4"/>
        <v>#DIV/0!</v>
      </c>
    </row>
    <row r="22">
      <c r="A22" s="67">
        <v>19.0</v>
      </c>
      <c r="B22" s="68" t="s">
        <v>147</v>
      </c>
      <c r="C22" s="69">
        <v>12.1</v>
      </c>
      <c r="D22" s="71">
        <v>13.0</v>
      </c>
      <c r="F22" s="71">
        <v>11.0</v>
      </c>
      <c r="G22" s="71"/>
      <c r="H22" s="72"/>
      <c r="I22" s="71">
        <v>7.0</v>
      </c>
      <c r="J22" s="71"/>
      <c r="K22" s="54">
        <f t="shared" si="5"/>
        <v>43.1</v>
      </c>
      <c r="L22" s="60">
        <f t="shared" si="6"/>
        <v>10.775</v>
      </c>
      <c r="N22" s="71">
        <v>9.2</v>
      </c>
      <c r="O22" s="71"/>
      <c r="P22" s="127"/>
      <c r="Q22" s="75"/>
      <c r="R22" s="75"/>
      <c r="T22" s="71"/>
      <c r="U22" s="71"/>
      <c r="V22" s="127"/>
      <c r="W22" s="75"/>
      <c r="X22" s="75"/>
      <c r="Y22" s="54">
        <f t="shared" si="7"/>
        <v>9.2</v>
      </c>
      <c r="Z22" s="77">
        <f t="shared" si="4"/>
        <v>9.2</v>
      </c>
    </row>
    <row r="23">
      <c r="A23" s="39">
        <v>20.0</v>
      </c>
      <c r="B23" s="43" t="s">
        <v>153</v>
      </c>
      <c r="C23" s="87">
        <v>7.1</v>
      </c>
      <c r="D23" s="88"/>
      <c r="E23" s="88">
        <v>12.6</v>
      </c>
      <c r="F23" s="88"/>
      <c r="G23" s="88"/>
      <c r="H23" s="44" t="s">
        <v>156</v>
      </c>
      <c r="I23" s="88"/>
      <c r="J23" s="88"/>
      <c r="K23" s="54">
        <f t="shared" si="5"/>
        <v>19.7</v>
      </c>
      <c r="L23" s="60">
        <f t="shared" si="6"/>
        <v>9.85</v>
      </c>
      <c r="M23" s="88">
        <v>8.2</v>
      </c>
      <c r="N23" s="88"/>
      <c r="O23" s="88"/>
      <c r="P23" s="126"/>
      <c r="Q23" s="64"/>
      <c r="R23" s="64"/>
      <c r="S23" s="88"/>
      <c r="T23" s="88"/>
      <c r="U23" s="88"/>
      <c r="V23" s="126"/>
      <c r="W23" s="64"/>
      <c r="X23" s="64"/>
      <c r="Y23" s="54">
        <f t="shared" si="7"/>
        <v>8.2</v>
      </c>
      <c r="Z23" s="66">
        <f t="shared" si="4"/>
        <v>8.2</v>
      </c>
    </row>
    <row r="24" ht="25.5" customHeight="1">
      <c r="A24" s="67">
        <v>21.0</v>
      </c>
      <c r="B24" s="68" t="s">
        <v>159</v>
      </c>
      <c r="C24" s="69">
        <v>9.0</v>
      </c>
      <c r="D24" s="72">
        <v>14.6</v>
      </c>
      <c r="E24" s="72">
        <v>15.0</v>
      </c>
      <c r="F24" s="72"/>
      <c r="G24" s="72"/>
      <c r="H24" s="72" t="s">
        <v>161</v>
      </c>
      <c r="I24" s="72"/>
      <c r="J24" s="72"/>
      <c r="K24" s="54">
        <f t="shared" si="5"/>
        <v>38.6</v>
      </c>
      <c r="L24" s="60">
        <f t="shared" si="6"/>
        <v>12.86666667</v>
      </c>
      <c r="M24" s="72">
        <v>12.8</v>
      </c>
      <c r="N24" s="72"/>
      <c r="O24" s="72"/>
      <c r="P24" s="74"/>
      <c r="Q24" s="75"/>
      <c r="R24" s="75"/>
      <c r="S24" s="72"/>
      <c r="T24" s="72"/>
      <c r="U24" s="72"/>
      <c r="V24" s="74"/>
      <c r="W24" s="75"/>
      <c r="X24" s="75"/>
      <c r="Y24" s="54">
        <f t="shared" si="7"/>
        <v>12.8</v>
      </c>
      <c r="Z24" s="77">
        <f t="shared" si="4"/>
        <v>12.8</v>
      </c>
    </row>
    <row r="25">
      <c r="A25" s="39">
        <v>22.0</v>
      </c>
      <c r="B25" s="43" t="s">
        <v>168</v>
      </c>
      <c r="C25" s="44"/>
      <c r="D25" s="44">
        <v>3.2</v>
      </c>
      <c r="E25" s="44"/>
      <c r="F25" s="44"/>
      <c r="G25" s="44">
        <v>3.6</v>
      </c>
      <c r="H25" s="44"/>
      <c r="I25" s="44"/>
      <c r="J25" s="44">
        <v>7.4</v>
      </c>
      <c r="K25" s="54">
        <f t="shared" si="5"/>
        <v>14.2</v>
      </c>
      <c r="L25" s="60">
        <f t="shared" si="6"/>
        <v>4.733333333</v>
      </c>
      <c r="M25" s="44"/>
      <c r="N25" s="44"/>
      <c r="O25" s="44"/>
      <c r="P25" s="126"/>
      <c r="Q25" s="64"/>
      <c r="R25" s="64"/>
      <c r="S25" s="44"/>
      <c r="T25" s="44"/>
      <c r="U25" s="44"/>
      <c r="V25" s="126"/>
      <c r="W25" s="64"/>
      <c r="X25" s="64"/>
      <c r="Y25" s="54">
        <f t="shared" si="7"/>
        <v>0</v>
      </c>
      <c r="Z25" s="66" t="str">
        <f t="shared" si="4"/>
        <v>#DIV/0!</v>
      </c>
    </row>
    <row r="26">
      <c r="A26" s="67">
        <v>23.0</v>
      </c>
      <c r="B26" s="68" t="s">
        <v>171</v>
      </c>
      <c r="C26" s="72">
        <v>8.2</v>
      </c>
      <c r="D26" s="72"/>
      <c r="E26" s="72">
        <v>6.0</v>
      </c>
      <c r="F26" s="72"/>
      <c r="G26" s="72"/>
      <c r="H26" s="72" t="s">
        <v>173</v>
      </c>
      <c r="I26" s="72"/>
      <c r="J26" s="72"/>
      <c r="K26" s="54">
        <f t="shared" si="5"/>
        <v>14.2</v>
      </c>
      <c r="L26" s="60">
        <f t="shared" si="6"/>
        <v>7.1</v>
      </c>
      <c r="M26" s="72">
        <v>4.9</v>
      </c>
      <c r="N26" s="72"/>
      <c r="O26" s="72"/>
      <c r="P26" s="74"/>
      <c r="Q26" s="75"/>
      <c r="R26" s="75"/>
      <c r="S26" s="72"/>
      <c r="T26" s="72"/>
      <c r="U26" s="72"/>
      <c r="V26" s="74"/>
      <c r="W26" s="75"/>
      <c r="X26" s="75"/>
      <c r="Y26" s="54">
        <f t="shared" si="7"/>
        <v>4.9</v>
      </c>
      <c r="Z26" s="77">
        <f t="shared" si="4"/>
        <v>4.9</v>
      </c>
    </row>
    <row r="27">
      <c r="A27" s="39">
        <v>24.0</v>
      </c>
      <c r="B27" s="43" t="s">
        <v>178</v>
      </c>
      <c r="C27" s="44"/>
      <c r="D27" s="44">
        <v>5.0</v>
      </c>
      <c r="F27" s="44">
        <v>5.0</v>
      </c>
      <c r="G27" s="44"/>
      <c r="H27" s="44"/>
      <c r="I27" s="44">
        <v>7.0</v>
      </c>
      <c r="J27" s="44"/>
      <c r="K27" s="54">
        <f t="shared" si="5"/>
        <v>17</v>
      </c>
      <c r="L27" s="60">
        <f t="shared" si="6"/>
        <v>5.666666667</v>
      </c>
      <c r="N27" s="44">
        <v>5.9</v>
      </c>
      <c r="O27" s="44"/>
      <c r="P27" s="63"/>
      <c r="Q27" s="64"/>
      <c r="R27" s="64"/>
      <c r="T27" s="44"/>
      <c r="U27" s="44"/>
      <c r="V27" s="63"/>
      <c r="W27" s="64"/>
      <c r="X27" s="64"/>
      <c r="Y27" s="54">
        <f t="shared" si="7"/>
        <v>5.9</v>
      </c>
      <c r="Z27" s="66">
        <f t="shared" si="4"/>
        <v>5.9</v>
      </c>
    </row>
    <row r="28">
      <c r="A28" s="67">
        <v>25.0</v>
      </c>
      <c r="B28" s="68" t="s">
        <v>185</v>
      </c>
      <c r="C28" s="69">
        <v>1.7</v>
      </c>
      <c r="D28" s="71">
        <v>3.3</v>
      </c>
      <c r="E28" s="71">
        <v>2.0</v>
      </c>
      <c r="F28" s="71"/>
      <c r="G28" s="72"/>
      <c r="H28" s="72" t="s">
        <v>188</v>
      </c>
      <c r="I28" s="72"/>
      <c r="J28" s="72"/>
      <c r="K28" s="54">
        <f t="shared" si="5"/>
        <v>7</v>
      </c>
      <c r="L28" s="60">
        <f t="shared" si="6"/>
        <v>2.333333333</v>
      </c>
      <c r="M28" s="71">
        <v>2.3</v>
      </c>
      <c r="N28" s="71"/>
      <c r="O28" s="72"/>
      <c r="P28" s="74"/>
      <c r="Q28" s="75"/>
      <c r="R28" s="75"/>
      <c r="S28" s="71"/>
      <c r="T28" s="71"/>
      <c r="U28" s="72"/>
      <c r="V28" s="74"/>
      <c r="W28" s="75"/>
      <c r="X28" s="75"/>
      <c r="Y28" s="54">
        <f t="shared" si="7"/>
        <v>2.3</v>
      </c>
      <c r="Z28" s="77">
        <f t="shared" si="4"/>
        <v>2.3</v>
      </c>
    </row>
    <row r="29">
      <c r="A29" s="39">
        <v>26.0</v>
      </c>
      <c r="B29" s="43" t="s">
        <v>194</v>
      </c>
      <c r="C29" s="44"/>
      <c r="D29" s="44">
        <v>4.5</v>
      </c>
      <c r="E29" s="94"/>
      <c r="F29" s="44"/>
      <c r="G29" s="44"/>
      <c r="H29" s="44">
        <v>4.3</v>
      </c>
      <c r="I29" s="44"/>
      <c r="J29" s="44"/>
      <c r="K29" s="54">
        <f t="shared" si="5"/>
        <v>8.8</v>
      </c>
      <c r="L29" s="60">
        <f t="shared" si="6"/>
        <v>4.4</v>
      </c>
      <c r="M29" s="44">
        <v>3.2</v>
      </c>
      <c r="N29" s="44"/>
      <c r="O29" s="44"/>
      <c r="P29" s="126"/>
      <c r="Q29" s="64"/>
      <c r="R29" s="64"/>
      <c r="S29" s="44"/>
      <c r="T29" s="44"/>
      <c r="U29" s="44"/>
      <c r="V29" s="126"/>
      <c r="W29" s="64"/>
      <c r="X29" s="64"/>
      <c r="Y29" s="54">
        <f t="shared" si="7"/>
        <v>3.2</v>
      </c>
      <c r="Z29" s="66">
        <f t="shared" si="4"/>
        <v>3.2</v>
      </c>
    </row>
    <row r="30">
      <c r="A30" s="67">
        <v>27.0</v>
      </c>
      <c r="B30" s="68" t="s">
        <v>203</v>
      </c>
      <c r="C30" s="72">
        <v>5.2</v>
      </c>
      <c r="D30" s="72">
        <v>7.1</v>
      </c>
      <c r="E30" s="72">
        <v>3.0</v>
      </c>
      <c r="F30" s="72"/>
      <c r="G30" s="72"/>
      <c r="H30" s="72" t="s">
        <v>204</v>
      </c>
      <c r="I30" s="72"/>
      <c r="J30" s="72"/>
      <c r="K30" s="54">
        <f t="shared" si="5"/>
        <v>15.3</v>
      </c>
      <c r="L30" s="60">
        <f t="shared" si="6"/>
        <v>5.1</v>
      </c>
      <c r="M30" s="72">
        <v>6.3</v>
      </c>
      <c r="N30" s="72"/>
      <c r="O30" s="72"/>
      <c r="P30" s="74"/>
      <c r="Q30" s="75"/>
      <c r="R30" s="75"/>
      <c r="S30" s="72"/>
      <c r="T30" s="72"/>
      <c r="U30" s="72"/>
      <c r="V30" s="74"/>
      <c r="W30" s="75"/>
      <c r="X30" s="75"/>
      <c r="Y30" s="54">
        <f t="shared" si="7"/>
        <v>6.3</v>
      </c>
      <c r="Z30" s="77">
        <f t="shared" si="4"/>
        <v>6.3</v>
      </c>
    </row>
    <row r="31">
      <c r="A31" s="39">
        <v>28.0</v>
      </c>
      <c r="B31" s="43" t="s">
        <v>209</v>
      </c>
      <c r="C31" s="44"/>
      <c r="D31" s="44"/>
      <c r="E31" s="44"/>
      <c r="F31" s="44"/>
      <c r="G31" s="44"/>
      <c r="H31" s="44">
        <v>14.5</v>
      </c>
      <c r="I31" s="44"/>
      <c r="J31" s="44">
        <v>9.2</v>
      </c>
      <c r="K31" s="54">
        <f t="shared" si="5"/>
        <v>23.7</v>
      </c>
      <c r="L31" s="60">
        <f t="shared" si="6"/>
        <v>11.85</v>
      </c>
      <c r="M31" s="44"/>
      <c r="N31" s="44"/>
      <c r="O31" s="44"/>
      <c r="P31" s="126"/>
      <c r="Q31" s="64"/>
      <c r="R31" s="64"/>
      <c r="S31" s="44"/>
      <c r="T31" s="44"/>
      <c r="U31" s="44"/>
      <c r="V31" s="126"/>
      <c r="W31" s="64"/>
      <c r="X31" s="64"/>
      <c r="Y31" s="54">
        <f t="shared" si="7"/>
        <v>0</v>
      </c>
      <c r="Z31" s="66" t="str">
        <f t="shared" si="4"/>
        <v>#DIV/0!</v>
      </c>
    </row>
    <row r="32">
      <c r="A32" s="67">
        <v>29.0</v>
      </c>
      <c r="B32" s="68" t="s">
        <v>215</v>
      </c>
      <c r="C32" s="72">
        <v>7.0</v>
      </c>
      <c r="D32" s="72">
        <v>14.0</v>
      </c>
      <c r="F32" s="72">
        <v>15.0</v>
      </c>
      <c r="G32" s="72"/>
      <c r="H32" s="72"/>
      <c r="I32" s="72">
        <v>14.0</v>
      </c>
      <c r="J32" s="72"/>
      <c r="K32" s="54">
        <f t="shared" si="5"/>
        <v>50</v>
      </c>
      <c r="L32" s="60">
        <f t="shared" si="6"/>
        <v>12.5</v>
      </c>
      <c r="N32" s="72">
        <v>13.8</v>
      </c>
      <c r="O32" s="72"/>
      <c r="P32" s="127"/>
      <c r="Q32" s="75"/>
      <c r="R32" s="75"/>
      <c r="T32" s="72"/>
      <c r="U32" s="72"/>
      <c r="V32" s="127"/>
      <c r="W32" s="75"/>
      <c r="X32" s="75"/>
      <c r="Y32" s="54">
        <f t="shared" si="7"/>
        <v>13.8</v>
      </c>
      <c r="Z32" s="77">
        <f t="shared" si="4"/>
        <v>13.8</v>
      </c>
    </row>
    <row r="33">
      <c r="A33" s="39">
        <v>30.0</v>
      </c>
      <c r="B33" s="43" t="s">
        <v>220</v>
      </c>
      <c r="C33" s="44"/>
      <c r="D33" s="44">
        <v>3.3</v>
      </c>
      <c r="E33" s="44">
        <v>2.0</v>
      </c>
      <c r="F33" s="44"/>
      <c r="H33" s="44" t="s">
        <v>222</v>
      </c>
      <c r="I33" s="100"/>
      <c r="J33" s="100"/>
      <c r="K33" s="54">
        <f t="shared" si="5"/>
        <v>5.3</v>
      </c>
      <c r="L33" s="60">
        <f t="shared" si="6"/>
        <v>2.65</v>
      </c>
      <c r="M33" s="44">
        <v>3.7</v>
      </c>
      <c r="N33" s="44"/>
      <c r="P33" s="126"/>
      <c r="Q33" s="64"/>
      <c r="R33" s="131"/>
      <c r="S33" s="44"/>
      <c r="T33" s="44"/>
      <c r="V33" s="126"/>
      <c r="W33" s="64"/>
      <c r="X33" s="131"/>
      <c r="Y33" s="54">
        <f t="shared" si="7"/>
        <v>3.7</v>
      </c>
      <c r="Z33" s="66">
        <f t="shared" si="4"/>
        <v>3.7</v>
      </c>
    </row>
    <row r="34">
      <c r="A34" s="67">
        <v>31.0</v>
      </c>
      <c r="B34" s="68" t="s">
        <v>228</v>
      </c>
      <c r="C34" s="72"/>
      <c r="D34" s="72">
        <v>2.0</v>
      </c>
      <c r="F34" s="72">
        <v>2.3</v>
      </c>
      <c r="G34" s="72"/>
      <c r="H34" s="72"/>
      <c r="I34" s="72">
        <v>3.0</v>
      </c>
      <c r="J34" s="72"/>
      <c r="K34" s="54">
        <f t="shared" si="5"/>
        <v>7.3</v>
      </c>
      <c r="L34" s="60">
        <f t="shared" si="6"/>
        <v>2.433333333</v>
      </c>
      <c r="N34" s="72">
        <v>2.4</v>
      </c>
      <c r="O34" s="72"/>
      <c r="P34" s="127"/>
      <c r="Q34" s="75"/>
      <c r="R34" s="75"/>
      <c r="T34" s="72"/>
      <c r="U34" s="72"/>
      <c r="V34" s="127"/>
      <c r="W34" s="75"/>
      <c r="X34" s="75"/>
      <c r="Y34" s="54">
        <f t="shared" si="7"/>
        <v>2.4</v>
      </c>
      <c r="Z34" s="77">
        <f t="shared" si="4"/>
        <v>2.4</v>
      </c>
    </row>
    <row r="35">
      <c r="A35" s="39">
        <v>32.0</v>
      </c>
      <c r="B35" s="43" t="s">
        <v>234</v>
      </c>
      <c r="C35" s="44"/>
      <c r="D35" s="44">
        <v>15.0</v>
      </c>
      <c r="E35" s="100"/>
      <c r="F35" s="44">
        <v>18.0</v>
      </c>
      <c r="G35" s="44"/>
      <c r="H35" s="44"/>
      <c r="I35" s="44">
        <v>18.0</v>
      </c>
      <c r="J35" s="44"/>
      <c r="K35" s="54">
        <f t="shared" si="5"/>
        <v>51</v>
      </c>
      <c r="L35" s="60">
        <f t="shared" si="6"/>
        <v>17</v>
      </c>
      <c r="M35" s="100"/>
      <c r="N35" s="44">
        <v>16.6</v>
      </c>
      <c r="O35" s="44"/>
      <c r="P35" s="63"/>
      <c r="Q35" s="64"/>
      <c r="R35" s="64"/>
      <c r="S35" s="100"/>
      <c r="T35" s="44"/>
      <c r="U35" s="44"/>
      <c r="V35" s="63"/>
      <c r="W35" s="64"/>
      <c r="X35" s="64"/>
      <c r="Y35" s="54">
        <f t="shared" si="7"/>
        <v>16.6</v>
      </c>
      <c r="Z35" s="66">
        <f t="shared" si="4"/>
        <v>16.6</v>
      </c>
    </row>
    <row r="36">
      <c r="A36" s="67">
        <v>33.0</v>
      </c>
      <c r="B36" s="68" t="s">
        <v>239</v>
      </c>
      <c r="C36" s="72">
        <v>1.9</v>
      </c>
      <c r="D36" s="72">
        <v>5.0</v>
      </c>
      <c r="E36" s="116"/>
      <c r="F36" s="72">
        <v>0.2</v>
      </c>
      <c r="G36" s="72"/>
      <c r="H36" s="72"/>
      <c r="I36" s="72">
        <v>2.0</v>
      </c>
      <c r="J36" s="72"/>
      <c r="K36" s="54">
        <f t="shared" si="5"/>
        <v>9.1</v>
      </c>
      <c r="L36" s="60">
        <f t="shared" si="6"/>
        <v>2.275</v>
      </c>
      <c r="M36" s="116"/>
      <c r="N36" s="72">
        <v>1.7</v>
      </c>
      <c r="O36" s="72"/>
      <c r="P36" s="127"/>
      <c r="Q36" s="75"/>
      <c r="R36" s="75"/>
      <c r="S36" s="116"/>
      <c r="T36" s="72"/>
      <c r="U36" s="72"/>
      <c r="V36" s="127"/>
      <c r="W36" s="75"/>
      <c r="X36" s="75"/>
      <c r="Y36" s="54">
        <f t="shared" si="7"/>
        <v>1.7</v>
      </c>
      <c r="Z36" s="77">
        <f t="shared" si="4"/>
        <v>1.7</v>
      </c>
    </row>
    <row r="37">
      <c r="A37" s="39">
        <v>34.0</v>
      </c>
      <c r="B37" s="43" t="s">
        <v>247</v>
      </c>
      <c r="C37" s="44"/>
      <c r="D37" s="44"/>
      <c r="E37" s="100"/>
      <c r="F37" s="44">
        <v>6.8</v>
      </c>
      <c r="G37" s="44">
        <v>3.4</v>
      </c>
      <c r="H37" s="44"/>
      <c r="I37" s="44">
        <v>6.6</v>
      </c>
      <c r="J37" s="44">
        <v>4.7</v>
      </c>
      <c r="K37" s="54">
        <f t="shared" si="5"/>
        <v>21.5</v>
      </c>
      <c r="L37" s="60">
        <f t="shared" si="6"/>
        <v>5.375</v>
      </c>
      <c r="M37" s="100"/>
      <c r="N37" s="44">
        <v>6.4</v>
      </c>
      <c r="O37" s="44"/>
      <c r="P37" s="102"/>
      <c r="Q37" s="83"/>
      <c r="R37" s="83"/>
      <c r="S37" s="100"/>
      <c r="T37" s="44"/>
      <c r="U37" s="44"/>
      <c r="V37" s="102"/>
      <c r="W37" s="64"/>
      <c r="X37" s="64"/>
      <c r="Y37" s="54">
        <f t="shared" si="7"/>
        <v>6.4</v>
      </c>
      <c r="Z37" s="66">
        <f t="shared" si="4"/>
        <v>6.4</v>
      </c>
    </row>
    <row r="38">
      <c r="A38" s="67">
        <v>35.0</v>
      </c>
      <c r="B38" s="68" t="s">
        <v>257</v>
      </c>
      <c r="C38" s="72"/>
      <c r="D38" s="72">
        <v>7.2</v>
      </c>
      <c r="E38" s="72"/>
      <c r="G38" s="72">
        <v>12.6</v>
      </c>
      <c r="I38" s="72"/>
      <c r="J38" s="72">
        <v>9.6</v>
      </c>
      <c r="K38" s="54">
        <f t="shared" si="5"/>
        <v>29.4</v>
      </c>
      <c r="L38" s="60">
        <f t="shared" si="6"/>
        <v>9.8</v>
      </c>
      <c r="M38" s="72"/>
      <c r="O38" s="72"/>
      <c r="P38" s="85"/>
      <c r="Q38" s="117"/>
      <c r="R38" s="85"/>
      <c r="S38" s="72"/>
      <c r="T38" s="116"/>
      <c r="U38" s="72"/>
      <c r="V38" s="85"/>
      <c r="W38" s="133"/>
      <c r="X38" s="75"/>
      <c r="Y38" s="54">
        <f t="shared" si="7"/>
        <v>0</v>
      </c>
      <c r="Z38" s="77" t="str">
        <f t="shared" si="4"/>
        <v>#DIV/0!</v>
      </c>
    </row>
    <row r="39">
      <c r="A39" s="39">
        <v>36.0</v>
      </c>
      <c r="B39" s="43" t="s">
        <v>265</v>
      </c>
      <c r="C39" s="44">
        <v>8.0</v>
      </c>
      <c r="D39" s="44">
        <v>12.0</v>
      </c>
      <c r="E39" s="44"/>
      <c r="F39" s="44"/>
      <c r="G39" s="44">
        <v>11.4</v>
      </c>
      <c r="H39" s="44"/>
      <c r="I39" s="44"/>
      <c r="J39" s="44">
        <v>9.9</v>
      </c>
      <c r="K39" s="54">
        <f t="shared" si="5"/>
        <v>41.3</v>
      </c>
      <c r="L39" s="60">
        <f t="shared" si="6"/>
        <v>10.325</v>
      </c>
      <c r="M39" s="44"/>
      <c r="N39" s="44"/>
      <c r="O39" s="44"/>
      <c r="P39" s="83"/>
      <c r="Q39" s="83"/>
      <c r="R39" s="83"/>
      <c r="S39" s="44"/>
      <c r="T39" s="44"/>
      <c r="U39" s="44"/>
      <c r="V39" s="83"/>
      <c r="W39" s="64"/>
      <c r="X39" s="64"/>
      <c r="Y39" s="54">
        <f t="shared" si="7"/>
        <v>0</v>
      </c>
      <c r="Z39" s="66" t="str">
        <f t="shared" si="4"/>
        <v>#DIV/0!</v>
      </c>
    </row>
    <row r="40" ht="18.75" customHeight="1">
      <c r="A40" s="67">
        <v>37.0</v>
      </c>
      <c r="B40" s="68" t="s">
        <v>267</v>
      </c>
      <c r="C40" s="72"/>
      <c r="D40" s="72"/>
      <c r="E40" s="72">
        <v>9.5</v>
      </c>
      <c r="F40" s="72"/>
      <c r="G40" s="72"/>
      <c r="H40" s="72" t="s">
        <v>268</v>
      </c>
      <c r="I40" s="72"/>
      <c r="J40" s="72"/>
      <c r="K40" s="54">
        <f t="shared" si="5"/>
        <v>9.5</v>
      </c>
      <c r="L40" s="60">
        <f t="shared" si="6"/>
        <v>9.5</v>
      </c>
      <c r="M40" s="72">
        <v>16.5</v>
      </c>
      <c r="N40" s="72"/>
      <c r="O40" s="72"/>
      <c r="P40" s="85"/>
      <c r="Q40" s="85"/>
      <c r="R40" s="85"/>
      <c r="S40" s="72"/>
      <c r="T40" s="72"/>
      <c r="U40" s="72"/>
      <c r="V40" s="85"/>
      <c r="W40" s="75"/>
      <c r="X40" s="75"/>
      <c r="Y40" s="54">
        <f t="shared" si="7"/>
        <v>16.5</v>
      </c>
      <c r="Z40" s="77">
        <f t="shared" si="4"/>
        <v>16.5</v>
      </c>
    </row>
    <row r="41" ht="18.75" customHeight="1">
      <c r="A41" s="39">
        <v>38.0</v>
      </c>
      <c r="B41" s="43" t="s">
        <v>270</v>
      </c>
      <c r="C41" s="44">
        <v>10.2</v>
      </c>
      <c r="D41" s="44"/>
      <c r="E41" s="44">
        <v>11.0</v>
      </c>
      <c r="F41" s="44"/>
      <c r="G41" s="44"/>
      <c r="H41" s="44"/>
      <c r="I41" s="44"/>
      <c r="J41" s="44"/>
      <c r="K41" s="54">
        <f t="shared" si="5"/>
        <v>21.2</v>
      </c>
      <c r="L41" s="60">
        <f t="shared" si="6"/>
        <v>10.6</v>
      </c>
      <c r="M41" s="44"/>
      <c r="N41" s="44"/>
      <c r="O41" s="44"/>
      <c r="P41" s="83"/>
      <c r="Q41" s="83"/>
      <c r="R41" s="83"/>
      <c r="S41" s="44"/>
      <c r="T41" s="44"/>
      <c r="U41" s="44"/>
      <c r="V41" s="83"/>
      <c r="W41" s="64"/>
      <c r="X41" s="64"/>
      <c r="Y41" s="54">
        <f t="shared" si="7"/>
        <v>0</v>
      </c>
      <c r="Z41" s="66" t="str">
        <f t="shared" si="4"/>
        <v>#DIV/0!</v>
      </c>
    </row>
    <row r="42" ht="18.75" customHeight="1">
      <c r="A42" s="67">
        <v>39.0</v>
      </c>
      <c r="B42" s="68" t="s">
        <v>276</v>
      </c>
      <c r="C42" s="72">
        <v>7.7</v>
      </c>
      <c r="D42" s="72">
        <v>9.9</v>
      </c>
      <c r="F42" s="72">
        <v>4.0</v>
      </c>
      <c r="H42" s="72"/>
      <c r="I42" s="72">
        <v>7.0</v>
      </c>
      <c r="J42" s="116"/>
      <c r="K42" s="54">
        <f t="shared" si="5"/>
        <v>28.6</v>
      </c>
      <c r="L42" s="60">
        <f t="shared" si="6"/>
        <v>7.15</v>
      </c>
      <c r="N42" s="72">
        <v>7.1</v>
      </c>
      <c r="P42" s="134"/>
      <c r="Q42" s="85"/>
      <c r="R42" s="117"/>
      <c r="S42" s="116"/>
      <c r="T42" s="72"/>
      <c r="U42" s="116"/>
      <c r="V42" s="134"/>
      <c r="W42" s="75"/>
      <c r="X42" s="135"/>
      <c r="Y42" s="54">
        <f t="shared" si="7"/>
        <v>7.1</v>
      </c>
      <c r="Z42" s="77">
        <f t="shared" si="4"/>
        <v>7.1</v>
      </c>
    </row>
    <row r="43" ht="18.75" customHeight="1">
      <c r="A43" s="39">
        <v>40.0</v>
      </c>
      <c r="B43" s="43" t="s">
        <v>283</v>
      </c>
      <c r="C43" s="44">
        <v>11.1</v>
      </c>
      <c r="D43" s="44">
        <v>6.9</v>
      </c>
      <c r="E43" s="100"/>
      <c r="F43" s="44">
        <v>6.0</v>
      </c>
      <c r="G43" s="44"/>
      <c r="H43" s="44"/>
      <c r="I43" s="44">
        <v>5.0</v>
      </c>
      <c r="J43" s="44"/>
      <c r="K43" s="54">
        <f t="shared" si="5"/>
        <v>29</v>
      </c>
      <c r="L43" s="60">
        <f t="shared" si="6"/>
        <v>7.25</v>
      </c>
      <c r="M43" s="100"/>
      <c r="N43" s="44">
        <v>5.6</v>
      </c>
      <c r="O43" s="44"/>
      <c r="P43" s="102"/>
      <c r="Q43" s="83"/>
      <c r="R43" s="83"/>
      <c r="S43" s="100"/>
      <c r="T43" s="44"/>
      <c r="U43" s="44"/>
      <c r="V43" s="102"/>
      <c r="W43" s="64"/>
      <c r="X43" s="64"/>
      <c r="Y43" s="54">
        <f t="shared" si="7"/>
        <v>5.6</v>
      </c>
      <c r="Z43" s="66">
        <f t="shared" si="4"/>
        <v>5.6</v>
      </c>
    </row>
    <row r="44" ht="18.75" customHeight="1">
      <c r="A44" s="67">
        <v>41.0</v>
      </c>
      <c r="B44" s="68" t="s">
        <v>81</v>
      </c>
      <c r="C44" s="72"/>
      <c r="D44" s="72"/>
      <c r="E44" s="72"/>
      <c r="F44" s="72"/>
      <c r="G44" s="72"/>
      <c r="H44" s="72"/>
      <c r="I44" s="72"/>
      <c r="J44" s="72"/>
      <c r="K44" s="54">
        <f t="shared" si="5"/>
        <v>0</v>
      </c>
      <c r="L44" s="60"/>
      <c r="M44" s="72"/>
      <c r="N44" s="72"/>
      <c r="O44" s="72"/>
      <c r="P44" s="85"/>
      <c r="Q44" s="85"/>
      <c r="R44" s="85"/>
      <c r="S44" s="72"/>
      <c r="T44" s="72"/>
      <c r="U44" s="72"/>
      <c r="V44" s="85"/>
      <c r="W44" s="75"/>
      <c r="X44" s="75"/>
      <c r="Y44" s="54">
        <f t="shared" si="7"/>
        <v>0</v>
      </c>
      <c r="Z44" s="77" t="str">
        <f t="shared" si="4"/>
        <v>#DIV/0!</v>
      </c>
    </row>
    <row r="45" ht="18.75" customHeight="1">
      <c r="A45" s="39">
        <v>42.0</v>
      </c>
      <c r="B45" s="43" t="s">
        <v>294</v>
      </c>
      <c r="C45" s="44"/>
      <c r="D45" s="44">
        <v>17.0</v>
      </c>
      <c r="E45" s="44"/>
      <c r="F45" s="44"/>
      <c r="G45" s="44">
        <v>18.9</v>
      </c>
      <c r="H45" s="44">
        <v>4.8</v>
      </c>
      <c r="I45" s="100"/>
      <c r="J45" s="44"/>
      <c r="K45" s="54">
        <f t="shared" si="5"/>
        <v>40.7</v>
      </c>
      <c r="L45" s="60">
        <f t="shared" ref="L45:L46" si="8">AVERAGE(C45:J45)</f>
        <v>13.56666667</v>
      </c>
      <c r="M45" s="44">
        <v>11.3</v>
      </c>
      <c r="N45" s="44"/>
      <c r="O45" s="44"/>
      <c r="P45" s="83"/>
      <c r="Q45" s="83"/>
      <c r="R45" s="83"/>
      <c r="S45" s="44"/>
      <c r="T45" s="44"/>
      <c r="U45" s="44"/>
      <c r="V45" s="83"/>
      <c r="W45" s="64"/>
      <c r="X45" s="64"/>
      <c r="Y45" s="54">
        <f t="shared" si="7"/>
        <v>11.3</v>
      </c>
      <c r="Z45" s="66">
        <f t="shared" si="4"/>
        <v>11.3</v>
      </c>
    </row>
    <row r="46" ht="18.75" customHeight="1">
      <c r="A46" s="67">
        <v>43.0</v>
      </c>
      <c r="B46" s="68" t="s">
        <v>296</v>
      </c>
      <c r="C46" s="72">
        <v>4.5</v>
      </c>
      <c r="D46" s="72">
        <v>7.3</v>
      </c>
      <c r="E46" s="116"/>
      <c r="F46" s="72">
        <v>5.0</v>
      </c>
      <c r="G46" s="72"/>
      <c r="H46" s="72"/>
      <c r="I46" s="72">
        <v>6.0</v>
      </c>
      <c r="J46" s="72"/>
      <c r="K46" s="54">
        <f t="shared" si="5"/>
        <v>22.8</v>
      </c>
      <c r="L46" s="60">
        <f t="shared" si="8"/>
        <v>5.7</v>
      </c>
      <c r="M46" s="116"/>
      <c r="N46" s="72">
        <v>6.2</v>
      </c>
      <c r="O46" s="72"/>
      <c r="P46" s="117"/>
      <c r="Q46" s="85"/>
      <c r="R46" s="85"/>
      <c r="S46" s="116"/>
      <c r="T46" s="72"/>
      <c r="U46" s="72"/>
      <c r="V46" s="117"/>
      <c r="W46" s="75"/>
      <c r="X46" s="75"/>
      <c r="Y46" s="54">
        <f t="shared" si="7"/>
        <v>6.2</v>
      </c>
      <c r="Z46" s="77">
        <f t="shared" si="4"/>
        <v>6.2</v>
      </c>
    </row>
    <row r="47" ht="18.75" customHeight="1">
      <c r="A47" s="39">
        <v>44.0</v>
      </c>
      <c r="B47" s="136" t="s">
        <v>300</v>
      </c>
      <c r="C47" s="44"/>
      <c r="D47" s="44"/>
      <c r="E47" s="100"/>
      <c r="F47" s="44"/>
      <c r="G47" s="44"/>
      <c r="H47" s="44"/>
      <c r="I47" s="44">
        <v>2.0</v>
      </c>
      <c r="J47" s="44"/>
      <c r="K47" s="54">
        <f t="shared" si="5"/>
        <v>2</v>
      </c>
      <c r="L47" s="60"/>
      <c r="M47" s="100"/>
      <c r="N47" s="44">
        <v>2.7</v>
      </c>
      <c r="O47" s="44"/>
      <c r="P47" s="102"/>
      <c r="Q47" s="83"/>
      <c r="R47" s="83"/>
      <c r="S47" s="100"/>
      <c r="T47" s="44"/>
      <c r="U47" s="44"/>
      <c r="V47" s="102"/>
      <c r="W47" s="64"/>
      <c r="X47" s="64"/>
      <c r="Y47" s="54">
        <f t="shared" si="7"/>
        <v>2.7</v>
      </c>
      <c r="Z47" s="66">
        <f t="shared" si="4"/>
        <v>2.7</v>
      </c>
    </row>
    <row r="48" ht="18.75" customHeight="1">
      <c r="A48" s="67">
        <v>45.0</v>
      </c>
      <c r="B48" s="138" t="s">
        <v>301</v>
      </c>
      <c r="C48" s="72"/>
      <c r="D48" s="72"/>
      <c r="E48" s="116"/>
      <c r="F48" s="72"/>
      <c r="G48" s="72"/>
      <c r="H48" s="72" t="s">
        <v>303</v>
      </c>
      <c r="I48" s="72"/>
      <c r="J48" s="72"/>
      <c r="K48" s="54">
        <f t="shared" si="5"/>
        <v>0</v>
      </c>
      <c r="L48" s="60"/>
      <c r="M48" s="72">
        <v>7.5</v>
      </c>
      <c r="N48" s="72"/>
      <c r="O48" s="72"/>
      <c r="P48" s="127"/>
      <c r="Q48" s="75"/>
      <c r="R48" s="75"/>
      <c r="S48" s="116"/>
      <c r="T48" s="72"/>
      <c r="U48" s="72"/>
      <c r="V48" s="127"/>
      <c r="W48" s="75"/>
      <c r="X48" s="75"/>
      <c r="Y48" s="54">
        <f t="shared" si="7"/>
        <v>7.5</v>
      </c>
      <c r="Z48" s="77">
        <f t="shared" si="4"/>
        <v>7.5</v>
      </c>
    </row>
    <row r="49" ht="18.75" customHeight="1">
      <c r="A49" s="39">
        <v>46.0</v>
      </c>
      <c r="B49" s="143" t="s">
        <v>307</v>
      </c>
      <c r="C49" s="44"/>
      <c r="D49" s="44"/>
      <c r="E49" s="100"/>
      <c r="F49" s="44"/>
      <c r="G49" s="44"/>
      <c r="H49" s="44"/>
      <c r="I49" s="44">
        <v>7.0</v>
      </c>
      <c r="J49" s="44"/>
      <c r="K49" s="54">
        <f t="shared" si="5"/>
        <v>7</v>
      </c>
      <c r="L49" s="60"/>
      <c r="M49" s="100"/>
      <c r="N49" s="44">
        <v>6.7</v>
      </c>
      <c r="O49" s="44"/>
      <c r="P49" s="63"/>
      <c r="Q49" s="64"/>
      <c r="R49" s="64"/>
      <c r="S49" s="100"/>
      <c r="T49" s="44"/>
      <c r="U49" s="44"/>
      <c r="V49" s="63"/>
      <c r="W49" s="64"/>
      <c r="X49" s="64"/>
      <c r="Y49" s="54">
        <f t="shared" si="7"/>
        <v>6.7</v>
      </c>
      <c r="Z49" s="66">
        <f t="shared" si="4"/>
        <v>6.7</v>
      </c>
    </row>
    <row r="50" ht="18.75" customHeight="1">
      <c r="A50" s="67">
        <v>47.0</v>
      </c>
      <c r="B50" s="148" t="s">
        <v>309</v>
      </c>
      <c r="C50" s="149">
        <v>13.2</v>
      </c>
      <c r="D50" s="149">
        <v>20.7</v>
      </c>
      <c r="E50" s="149"/>
      <c r="F50" s="149">
        <v>15.0</v>
      </c>
      <c r="G50" s="149"/>
      <c r="H50" s="149"/>
      <c r="I50" s="149">
        <v>19.0</v>
      </c>
      <c r="J50" s="149"/>
      <c r="K50" s="54">
        <f t="shared" si="5"/>
        <v>67.9</v>
      </c>
      <c r="L50" s="60">
        <f t="shared" ref="L50:L54" si="9">AVERAGE(C50:J50)</f>
        <v>16.975</v>
      </c>
      <c r="M50" s="149"/>
      <c r="N50" s="149">
        <v>14.9</v>
      </c>
      <c r="O50" s="149"/>
      <c r="P50" s="150"/>
      <c r="Q50" s="152"/>
      <c r="R50" s="152"/>
      <c r="S50" s="149"/>
      <c r="T50" s="149"/>
      <c r="U50" s="149"/>
      <c r="V50" s="150"/>
      <c r="W50" s="152"/>
      <c r="X50" s="152"/>
      <c r="Y50" s="54">
        <f t="shared" si="7"/>
        <v>14.9</v>
      </c>
      <c r="Z50" s="77">
        <f t="shared" si="4"/>
        <v>14.9</v>
      </c>
    </row>
    <row r="51" ht="18.75" customHeight="1">
      <c r="A51" s="39">
        <v>48.0</v>
      </c>
      <c r="B51" s="148" t="s">
        <v>312</v>
      </c>
      <c r="C51" s="149">
        <v>4.0</v>
      </c>
      <c r="D51" s="149">
        <v>4.0</v>
      </c>
      <c r="E51" s="154"/>
      <c r="F51" s="149">
        <v>7.4</v>
      </c>
      <c r="G51" s="149"/>
      <c r="H51" s="149"/>
      <c r="I51" s="149">
        <v>1.0</v>
      </c>
      <c r="J51" s="149"/>
      <c r="K51" s="54">
        <f t="shared" si="5"/>
        <v>16.4</v>
      </c>
      <c r="L51" s="60">
        <f t="shared" si="9"/>
        <v>4.1</v>
      </c>
      <c r="M51" s="154"/>
      <c r="N51" s="149">
        <v>2.4</v>
      </c>
      <c r="O51" s="149"/>
      <c r="P51" s="155"/>
      <c r="Q51" s="152"/>
      <c r="R51" s="152"/>
      <c r="S51" s="154"/>
      <c r="T51" s="149"/>
      <c r="U51" s="149"/>
      <c r="V51" s="155"/>
      <c r="W51" s="152"/>
      <c r="X51" s="152"/>
      <c r="Y51" s="54">
        <f t="shared" si="7"/>
        <v>2.4</v>
      </c>
      <c r="Z51" s="66">
        <f t="shared" si="4"/>
        <v>2.4</v>
      </c>
    </row>
    <row r="52" ht="18.75" customHeight="1">
      <c r="A52" s="67">
        <v>49.0</v>
      </c>
      <c r="B52" s="148" t="s">
        <v>319</v>
      </c>
      <c r="C52" s="149">
        <v>10.0</v>
      </c>
      <c r="D52" s="149">
        <v>36.0</v>
      </c>
      <c r="E52" s="149">
        <v>18.0</v>
      </c>
      <c r="F52" s="149"/>
      <c r="G52" s="149"/>
      <c r="H52" s="149" t="s">
        <v>320</v>
      </c>
      <c r="I52" s="149"/>
      <c r="J52" s="149"/>
      <c r="K52" s="54">
        <f t="shared" si="5"/>
        <v>64</v>
      </c>
      <c r="L52" s="60">
        <f t="shared" si="9"/>
        <v>21.33333333</v>
      </c>
      <c r="M52" s="149">
        <v>39.6</v>
      </c>
      <c r="N52" s="149"/>
      <c r="O52" s="149"/>
      <c r="P52" s="156"/>
      <c r="Q52" s="156"/>
      <c r="R52" s="156"/>
      <c r="S52" s="149"/>
      <c r="T52" s="149"/>
      <c r="U52" s="149"/>
      <c r="V52" s="156"/>
      <c r="W52" s="156"/>
      <c r="X52" s="156"/>
      <c r="Y52" s="54">
        <f t="shared" si="7"/>
        <v>39.6</v>
      </c>
      <c r="Z52" s="77">
        <f t="shared" si="4"/>
        <v>39.6</v>
      </c>
    </row>
    <row r="53" ht="18.75" customHeight="1">
      <c r="A53" s="39">
        <v>50.0</v>
      </c>
      <c r="B53" s="148" t="s">
        <v>328</v>
      </c>
      <c r="C53" s="149">
        <v>14.0</v>
      </c>
      <c r="D53" s="149">
        <v>48.0</v>
      </c>
      <c r="E53" s="149">
        <v>26.9</v>
      </c>
      <c r="F53" s="149">
        <v>54.0</v>
      </c>
      <c r="G53" s="149">
        <v>110.0</v>
      </c>
      <c r="H53" s="149" t="s">
        <v>329</v>
      </c>
      <c r="I53" s="149">
        <v>116.0</v>
      </c>
      <c r="J53" s="149">
        <v>112.2</v>
      </c>
      <c r="K53" s="54">
        <f t="shared" si="5"/>
        <v>481.1</v>
      </c>
      <c r="L53" s="60">
        <f t="shared" si="9"/>
        <v>68.72857143</v>
      </c>
      <c r="M53" s="149">
        <v>149.0</v>
      </c>
      <c r="N53" s="149">
        <v>110.9</v>
      </c>
      <c r="O53" s="149"/>
      <c r="P53" s="156"/>
      <c r="Q53" s="156"/>
      <c r="R53" s="156"/>
      <c r="S53" s="149"/>
      <c r="T53" s="149"/>
      <c r="U53" s="149"/>
      <c r="V53" s="156"/>
      <c r="W53" s="156"/>
      <c r="X53" s="156"/>
      <c r="Y53" s="54">
        <f t="shared" si="7"/>
        <v>259.9</v>
      </c>
      <c r="Z53" s="66">
        <f t="shared" si="4"/>
        <v>129.95</v>
      </c>
    </row>
    <row r="54" ht="18.75" customHeight="1">
      <c r="A54" s="67">
        <v>51.0</v>
      </c>
      <c r="B54" s="148" t="s">
        <v>332</v>
      </c>
      <c r="C54" s="149"/>
      <c r="D54" s="149"/>
      <c r="E54" s="149">
        <v>151.9</v>
      </c>
      <c r="F54" s="149">
        <v>288.0</v>
      </c>
      <c r="G54" s="149">
        <v>165.3</v>
      </c>
      <c r="H54" s="149" t="s">
        <v>334</v>
      </c>
      <c r="I54" s="149">
        <v>148.0</v>
      </c>
      <c r="J54" s="149">
        <v>187.6</v>
      </c>
      <c r="K54" s="54">
        <f t="shared" si="5"/>
        <v>940.8</v>
      </c>
      <c r="L54" s="60">
        <f t="shared" si="9"/>
        <v>188.16</v>
      </c>
      <c r="M54" s="149">
        <v>188.5</v>
      </c>
      <c r="N54" s="149">
        <v>164.5</v>
      </c>
      <c r="O54" s="149"/>
      <c r="P54" s="156"/>
      <c r="Q54" s="156"/>
      <c r="R54" s="156"/>
      <c r="S54" s="149"/>
      <c r="T54" s="149"/>
      <c r="U54" s="149"/>
      <c r="V54" s="156"/>
      <c r="W54" s="156"/>
      <c r="X54" s="156"/>
      <c r="Y54" s="54">
        <f t="shared" si="7"/>
        <v>353</v>
      </c>
      <c r="Z54" s="77">
        <f t="shared" si="4"/>
        <v>176.5</v>
      </c>
    </row>
    <row r="55">
      <c r="A55" s="157" t="s">
        <v>341</v>
      </c>
      <c r="B55" s="158"/>
      <c r="C55" s="159"/>
      <c r="D55" s="159"/>
      <c r="E55" s="159"/>
      <c r="F55" s="160"/>
      <c r="G55" s="159"/>
      <c r="H55" s="159"/>
      <c r="I55" s="161" t="s">
        <v>343</v>
      </c>
      <c r="J55" s="162"/>
      <c r="K55" s="163">
        <f>SUM(K4:K54)</f>
        <v>2519.4</v>
      </c>
      <c r="L55" s="165">
        <f>AVERAGEIF(K4:K49, "&gt;0")</f>
        <v>22.6</v>
      </c>
      <c r="M55" s="159"/>
      <c r="N55" s="160"/>
      <c r="O55" s="159"/>
      <c r="P55" s="167"/>
      <c r="Q55" s="168"/>
      <c r="R55" s="170"/>
      <c r="S55" s="170"/>
      <c r="T55" s="170"/>
      <c r="U55" s="170"/>
      <c r="V55" s="170"/>
      <c r="W55" s="161" t="s">
        <v>343</v>
      </c>
      <c r="X55" s="162"/>
      <c r="Y55" s="163">
        <f>SUM(Y4:Y54)</f>
        <v>905</v>
      </c>
      <c r="Z55" s="165">
        <f>AVERAGEIF(Y4:Y49, "&gt;0")</f>
        <v>7.127272727</v>
      </c>
    </row>
    <row r="56">
      <c r="A56" s="173"/>
      <c r="B56" s="174"/>
      <c r="C56" s="82"/>
      <c r="D56" s="82"/>
      <c r="E56" s="82"/>
      <c r="F56" s="82"/>
      <c r="G56" s="82"/>
      <c r="H56" s="82"/>
      <c r="I56" s="161" t="s">
        <v>359</v>
      </c>
      <c r="J56" s="162"/>
      <c r="K56" s="23"/>
      <c r="L56" s="165">
        <f>AVERAGEIF(K50:K54, "&gt;0")</f>
        <v>314.04</v>
      </c>
      <c r="M56" s="82"/>
      <c r="N56" s="82"/>
      <c r="O56" s="82"/>
      <c r="P56" s="177"/>
      <c r="Q56" s="178"/>
      <c r="R56" s="179"/>
      <c r="S56" s="179"/>
      <c r="T56" s="179"/>
      <c r="U56" s="179"/>
      <c r="V56" s="179"/>
      <c r="W56" s="161" t="s">
        <v>359</v>
      </c>
      <c r="X56" s="162"/>
      <c r="Y56" s="23"/>
      <c r="Z56" s="165">
        <f>AVERAGEIF(Y50:Y54, "&gt;0")</f>
        <v>133.96</v>
      </c>
    </row>
    <row r="57">
      <c r="A57" s="82"/>
      <c r="B57" s="180"/>
      <c r="C57" s="82"/>
      <c r="D57" s="82"/>
      <c r="E57" s="82"/>
      <c r="F57" s="82"/>
      <c r="G57" s="82"/>
      <c r="H57" s="82"/>
      <c r="I57" s="181"/>
      <c r="J57" s="181"/>
      <c r="K57" s="182"/>
      <c r="L57" s="182"/>
      <c r="M57" s="82"/>
      <c r="N57" s="82"/>
      <c r="O57" s="82"/>
      <c r="P57" s="177"/>
      <c r="Q57" s="177"/>
      <c r="R57" s="177"/>
      <c r="S57" s="177"/>
      <c r="T57" s="177"/>
      <c r="U57" s="177"/>
      <c r="V57" s="177"/>
      <c r="W57" s="177"/>
      <c r="X57" s="177"/>
      <c r="Y57" s="82"/>
      <c r="Z57" s="82"/>
    </row>
    <row r="58">
      <c r="A58" s="82"/>
      <c r="B58" s="184"/>
      <c r="C58" s="82"/>
      <c r="D58" s="82"/>
      <c r="E58" s="82"/>
      <c r="F58" s="82"/>
      <c r="G58" s="82"/>
      <c r="H58" s="82"/>
      <c r="I58" s="185"/>
      <c r="J58" s="185"/>
      <c r="K58" s="182"/>
      <c r="L58" s="182"/>
      <c r="M58" s="82"/>
      <c r="N58" s="82"/>
      <c r="O58" s="82"/>
      <c r="P58" s="177"/>
      <c r="Q58" s="186"/>
      <c r="R58" s="186"/>
      <c r="S58" s="186"/>
      <c r="T58" s="186"/>
      <c r="U58" s="186"/>
      <c r="V58" s="186"/>
      <c r="W58" s="186"/>
      <c r="X58" s="186"/>
      <c r="Y58" s="187"/>
      <c r="Z58" s="187"/>
    </row>
    <row r="59">
      <c r="A59" s="82"/>
      <c r="B59" s="184"/>
      <c r="C59" s="82"/>
      <c r="D59" s="82"/>
      <c r="E59" s="82"/>
      <c r="F59" s="82"/>
      <c r="G59" s="82"/>
      <c r="H59" s="82"/>
      <c r="I59" s="188"/>
      <c r="J59" s="188"/>
      <c r="K59" s="182"/>
      <c r="L59" s="182"/>
      <c r="M59" s="82"/>
      <c r="N59" s="82"/>
      <c r="O59" s="82"/>
      <c r="P59" s="177"/>
      <c r="Q59" s="186"/>
      <c r="R59" s="186"/>
      <c r="S59" s="186"/>
      <c r="T59" s="186"/>
      <c r="U59" s="186"/>
      <c r="V59" s="186"/>
      <c r="W59" s="186"/>
      <c r="X59" s="186"/>
      <c r="Y59" s="182"/>
      <c r="Z59" s="182"/>
    </row>
    <row r="60">
      <c r="A60" s="82"/>
      <c r="B60" s="184"/>
      <c r="C60" s="82"/>
      <c r="D60" s="82"/>
      <c r="E60" s="82"/>
      <c r="F60" s="82"/>
      <c r="G60" s="82"/>
      <c r="H60" s="82"/>
      <c r="I60" s="189"/>
      <c r="J60" s="189"/>
      <c r="K60" s="190"/>
      <c r="L60" s="190"/>
      <c r="M60" s="82"/>
      <c r="N60" s="82"/>
      <c r="O60" s="82"/>
      <c r="P60" s="177"/>
      <c r="Q60" s="186"/>
      <c r="R60" s="186"/>
      <c r="S60" s="186"/>
      <c r="T60" s="186"/>
      <c r="U60" s="186"/>
      <c r="V60" s="186"/>
      <c r="W60" s="186"/>
      <c r="X60" s="186"/>
      <c r="Y60" s="182"/>
      <c r="Z60" s="182"/>
    </row>
    <row r="61">
      <c r="A61" s="82"/>
      <c r="B61" s="184"/>
      <c r="C61" s="82"/>
      <c r="D61" s="82"/>
      <c r="E61" s="82"/>
      <c r="F61" s="82"/>
      <c r="G61" s="82"/>
      <c r="H61" s="82"/>
      <c r="I61" s="188"/>
      <c r="J61" s="188"/>
      <c r="K61" s="182"/>
      <c r="L61" s="182"/>
      <c r="M61" s="82"/>
      <c r="N61" s="82"/>
      <c r="O61" s="82"/>
      <c r="P61" s="177"/>
      <c r="Q61" s="186"/>
      <c r="R61" s="186"/>
      <c r="S61" s="186"/>
      <c r="T61" s="186"/>
      <c r="U61" s="186"/>
      <c r="V61" s="186"/>
      <c r="W61" s="186"/>
      <c r="X61" s="186"/>
      <c r="Y61" s="182"/>
      <c r="Z61" s="182"/>
    </row>
    <row r="62">
      <c r="A62" s="82"/>
      <c r="Q62" s="186"/>
      <c r="R62" s="186"/>
      <c r="S62" s="186"/>
      <c r="T62" s="186"/>
      <c r="U62" s="186"/>
      <c r="V62" s="186"/>
      <c r="W62" s="186"/>
      <c r="X62" s="186"/>
      <c r="Y62" s="182"/>
      <c r="Z62" s="182"/>
    </row>
    <row r="63">
      <c r="A63" s="82"/>
      <c r="Q63" s="186"/>
      <c r="R63" s="186"/>
      <c r="S63" s="186"/>
      <c r="T63" s="186"/>
      <c r="U63" s="186"/>
      <c r="V63" s="186"/>
      <c r="W63" s="186"/>
      <c r="X63" s="186"/>
      <c r="Y63" s="190"/>
      <c r="Z63" s="190"/>
    </row>
    <row r="64">
      <c r="A64" s="82"/>
      <c r="Q64" s="186"/>
      <c r="R64" s="186"/>
      <c r="S64" s="186"/>
      <c r="T64" s="186"/>
      <c r="U64" s="186"/>
      <c r="V64" s="186"/>
      <c r="W64" s="186"/>
      <c r="X64" s="186"/>
      <c r="Y64" s="182"/>
      <c r="Z64" s="182"/>
    </row>
    <row r="65">
      <c r="A65" s="82"/>
      <c r="B65" s="184"/>
      <c r="C65" s="82"/>
      <c r="D65" s="82"/>
      <c r="E65" s="82"/>
      <c r="F65" s="82"/>
      <c r="G65" s="82"/>
      <c r="H65" s="82"/>
      <c r="I65" s="82"/>
      <c r="J65" s="82"/>
      <c r="M65" s="82"/>
      <c r="N65" s="82"/>
      <c r="O65" s="82"/>
      <c r="P65" s="177"/>
      <c r="Q65" s="177"/>
      <c r="R65" s="177"/>
      <c r="S65" s="177"/>
      <c r="T65" s="177"/>
      <c r="U65" s="177"/>
      <c r="V65" s="177"/>
      <c r="W65" s="177"/>
      <c r="X65" s="177"/>
    </row>
    <row r="66">
      <c r="A66" s="82"/>
      <c r="B66" s="184"/>
      <c r="C66" s="82"/>
      <c r="D66" s="82"/>
      <c r="E66" s="82"/>
      <c r="F66" s="82"/>
      <c r="G66" s="82"/>
      <c r="H66" s="82"/>
      <c r="I66" s="82"/>
      <c r="J66" s="82"/>
      <c r="K66" s="191"/>
      <c r="L66" s="191"/>
      <c r="M66" s="82"/>
      <c r="N66" s="82"/>
      <c r="O66" s="82"/>
      <c r="P66" s="177"/>
      <c r="Q66" s="177"/>
      <c r="R66" s="177"/>
      <c r="S66" s="177"/>
      <c r="T66" s="177"/>
      <c r="U66" s="177"/>
      <c r="V66" s="177"/>
      <c r="W66" s="177"/>
      <c r="X66" s="177"/>
      <c r="Y66" s="191"/>
      <c r="Z66" s="191"/>
    </row>
    <row r="67">
      <c r="A67" s="82"/>
      <c r="B67" s="184"/>
      <c r="C67" s="82"/>
      <c r="D67" s="82"/>
      <c r="E67" s="82"/>
      <c r="F67" s="82"/>
      <c r="G67" s="82"/>
      <c r="H67" s="82"/>
      <c r="I67" s="82"/>
      <c r="J67" s="82"/>
      <c r="K67" s="182"/>
      <c r="L67" s="182"/>
      <c r="M67" s="82"/>
      <c r="N67" s="82"/>
      <c r="O67" s="82"/>
      <c r="P67" s="177"/>
      <c r="Q67" s="186"/>
      <c r="R67" s="186"/>
      <c r="S67" s="186"/>
      <c r="T67" s="186"/>
      <c r="U67" s="186"/>
      <c r="V67" s="186"/>
      <c r="W67" s="186"/>
      <c r="X67" s="186"/>
      <c r="Y67" s="182"/>
      <c r="Z67" s="182"/>
    </row>
    <row r="68">
      <c r="A68" s="82"/>
      <c r="B68" s="184"/>
      <c r="C68" s="82"/>
      <c r="D68" s="82"/>
      <c r="E68" s="82"/>
      <c r="F68" s="82"/>
      <c r="G68" s="82"/>
      <c r="H68" s="82"/>
      <c r="I68" s="82"/>
      <c r="J68" s="82"/>
      <c r="K68" s="82"/>
      <c r="L68" s="82"/>
      <c r="M68" s="82"/>
      <c r="N68" s="82"/>
      <c r="O68" s="82"/>
      <c r="P68" s="177"/>
      <c r="Q68" s="177"/>
      <c r="R68" s="177"/>
      <c r="S68" s="177"/>
      <c r="T68" s="177"/>
      <c r="U68" s="177"/>
      <c r="V68" s="177"/>
      <c r="W68" s="177"/>
      <c r="X68" s="177"/>
      <c r="Y68" s="82"/>
      <c r="Z68" s="82"/>
    </row>
    <row r="69">
      <c r="A69" s="82"/>
      <c r="B69" s="184"/>
      <c r="C69" s="82"/>
      <c r="D69" s="82"/>
      <c r="E69" s="82"/>
      <c r="F69" s="82"/>
      <c r="G69" s="82"/>
      <c r="H69" s="82"/>
      <c r="I69" s="82"/>
      <c r="J69" s="82"/>
      <c r="K69" s="82"/>
      <c r="L69" s="82"/>
      <c r="M69" s="82"/>
      <c r="N69" s="82"/>
      <c r="O69" s="82"/>
      <c r="P69" s="177"/>
      <c r="Q69" s="177"/>
      <c r="R69" s="177"/>
      <c r="S69" s="177"/>
      <c r="T69" s="177"/>
      <c r="U69" s="177"/>
      <c r="V69" s="177"/>
      <c r="W69" s="177"/>
      <c r="X69" s="177"/>
      <c r="Y69" s="82"/>
      <c r="Z69" s="82"/>
    </row>
    <row r="70">
      <c r="A70" s="82"/>
      <c r="B70" s="184"/>
      <c r="C70" s="82"/>
      <c r="D70" s="82"/>
      <c r="E70" s="82"/>
      <c r="F70" s="82"/>
      <c r="G70" s="82"/>
      <c r="H70" s="82"/>
      <c r="I70" s="82"/>
      <c r="J70" s="82"/>
      <c r="K70" s="82"/>
      <c r="L70" s="82"/>
      <c r="M70" s="82"/>
      <c r="N70" s="82"/>
      <c r="O70" s="82"/>
      <c r="P70" s="177"/>
      <c r="Q70" s="177"/>
      <c r="R70" s="177"/>
      <c r="S70" s="177"/>
      <c r="T70" s="177"/>
      <c r="U70" s="177"/>
      <c r="V70" s="177"/>
      <c r="W70" s="177"/>
      <c r="X70" s="177"/>
      <c r="Y70" s="82"/>
      <c r="Z70" s="82"/>
    </row>
    <row r="71">
      <c r="A71" s="82"/>
      <c r="B71" s="184"/>
      <c r="C71" s="82"/>
      <c r="D71" s="82"/>
      <c r="E71" s="82"/>
      <c r="F71" s="82"/>
      <c r="G71" s="82"/>
      <c r="H71" s="82"/>
      <c r="I71" s="82"/>
      <c r="J71" s="82"/>
      <c r="K71" s="82"/>
      <c r="L71" s="82"/>
      <c r="M71" s="82"/>
      <c r="N71" s="82"/>
      <c r="O71" s="82"/>
      <c r="P71" s="177"/>
      <c r="Q71" s="177"/>
      <c r="R71" s="177"/>
      <c r="S71" s="177"/>
      <c r="T71" s="177"/>
      <c r="U71" s="177"/>
      <c r="V71" s="177"/>
      <c r="W71" s="177"/>
      <c r="X71" s="177"/>
      <c r="Y71" s="82"/>
      <c r="Z71" s="82"/>
    </row>
    <row r="72">
      <c r="A72" s="82"/>
      <c r="B72" s="184"/>
      <c r="C72" s="82"/>
      <c r="D72" s="82"/>
      <c r="E72" s="82"/>
      <c r="F72" s="82"/>
      <c r="G72" s="82"/>
      <c r="H72" s="82"/>
      <c r="I72" s="82"/>
      <c r="J72" s="82"/>
      <c r="K72" s="82"/>
      <c r="L72" s="82"/>
      <c r="M72" s="82"/>
      <c r="N72" s="82"/>
      <c r="O72" s="82"/>
      <c r="P72" s="177"/>
      <c r="Q72" s="177"/>
      <c r="R72" s="177"/>
      <c r="S72" s="177"/>
      <c r="T72" s="177"/>
      <c r="U72" s="177"/>
      <c r="V72" s="177"/>
      <c r="W72" s="177"/>
      <c r="X72" s="177"/>
      <c r="Y72" s="82"/>
      <c r="Z72" s="82"/>
    </row>
    <row r="73">
      <c r="A73" s="82"/>
      <c r="B73" s="184"/>
      <c r="C73" s="82"/>
      <c r="D73" s="82"/>
      <c r="E73" s="82"/>
      <c r="F73" s="82"/>
      <c r="G73" s="82"/>
      <c r="H73" s="82"/>
      <c r="I73" s="82"/>
      <c r="J73" s="82"/>
      <c r="K73" s="82"/>
      <c r="L73" s="82"/>
      <c r="M73" s="82"/>
      <c r="N73" s="82"/>
      <c r="O73" s="82"/>
      <c r="P73" s="177"/>
      <c r="Q73" s="177"/>
      <c r="R73" s="177"/>
      <c r="S73" s="177"/>
      <c r="T73" s="177"/>
      <c r="U73" s="177"/>
      <c r="V73" s="177"/>
      <c r="W73" s="177"/>
      <c r="X73" s="177"/>
      <c r="Y73" s="82"/>
      <c r="Z73" s="82"/>
    </row>
  </sheetData>
  <mergeCells count="21">
    <mergeCell ref="H2:J2"/>
    <mergeCell ref="M2:O2"/>
    <mergeCell ref="A55:B56"/>
    <mergeCell ref="I55:J55"/>
    <mergeCell ref="K55:K56"/>
    <mergeCell ref="I56:J56"/>
    <mergeCell ref="P2:R2"/>
    <mergeCell ref="S2:U2"/>
    <mergeCell ref="V2:X2"/>
    <mergeCell ref="Y2:Y3"/>
    <mergeCell ref="Z2:Z3"/>
    <mergeCell ref="W55:X55"/>
    <mergeCell ref="Y55:Y56"/>
    <mergeCell ref="W56:X56"/>
    <mergeCell ref="A1:A3"/>
    <mergeCell ref="B1:B3"/>
    <mergeCell ref="C1:J1"/>
    <mergeCell ref="M1:X1"/>
    <mergeCell ref="E2:G2"/>
    <mergeCell ref="K2:K3"/>
    <mergeCell ref="L2:L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10" max="10" width="19.38"/>
  </cols>
  <sheetData>
    <row r="1">
      <c r="A1" s="1" t="s">
        <v>1</v>
      </c>
    </row>
    <row r="3">
      <c r="A3" s="4" t="s">
        <v>3</v>
      </c>
      <c r="B3" s="4" t="s">
        <v>2</v>
      </c>
      <c r="C3" s="8" t="s">
        <v>5</v>
      </c>
      <c r="D3" s="10"/>
      <c r="E3" s="10"/>
      <c r="F3" s="12"/>
      <c r="G3" s="13" t="s">
        <v>8</v>
      </c>
      <c r="H3" s="13" t="s">
        <v>9</v>
      </c>
      <c r="I3" s="13" t="s">
        <v>10</v>
      </c>
      <c r="J3" s="13" t="s">
        <v>11</v>
      </c>
      <c r="K3" s="13" t="s">
        <v>12</v>
      </c>
      <c r="L3" s="15"/>
      <c r="M3" s="15"/>
      <c r="N3" s="15"/>
      <c r="O3" s="15"/>
      <c r="P3" s="15"/>
      <c r="Q3" s="15"/>
      <c r="R3" s="15"/>
      <c r="S3" s="15"/>
      <c r="T3" s="15"/>
      <c r="U3" s="15"/>
      <c r="V3" s="15"/>
      <c r="W3" s="15"/>
      <c r="X3" s="15"/>
      <c r="Y3" s="15"/>
      <c r="Z3" s="15"/>
      <c r="AA3" s="15"/>
      <c r="AB3" s="15"/>
      <c r="AC3" s="15"/>
    </row>
    <row r="4">
      <c r="A4" s="19">
        <v>1.0</v>
      </c>
      <c r="B4" s="21" t="s">
        <v>18</v>
      </c>
      <c r="C4" s="22" t="s">
        <v>20</v>
      </c>
      <c r="D4" s="22"/>
      <c r="E4" s="22"/>
      <c r="F4" s="22"/>
      <c r="G4" s="31">
        <f>SUM(C5:F5)</f>
        <v>2.8</v>
      </c>
      <c r="H4" s="35">
        <v>3000.0</v>
      </c>
      <c r="I4" s="40">
        <f>G4*H4</f>
        <v>8400</v>
      </c>
      <c r="J4" s="48" t="s">
        <v>49</v>
      </c>
      <c r="K4" s="50"/>
    </row>
    <row r="5">
      <c r="A5" s="53"/>
      <c r="B5" s="53"/>
      <c r="C5" s="57">
        <v>2.8</v>
      </c>
      <c r="D5" s="59"/>
      <c r="E5" s="59"/>
      <c r="F5" s="59"/>
      <c r="G5" s="53"/>
      <c r="H5" s="53"/>
      <c r="I5" s="61"/>
      <c r="J5" s="61"/>
      <c r="K5" s="61"/>
    </row>
    <row r="6">
      <c r="A6" s="19">
        <v>2.0</v>
      </c>
      <c r="B6" s="21"/>
      <c r="C6" s="22"/>
      <c r="D6" s="22"/>
      <c r="E6" s="22"/>
      <c r="F6" s="22"/>
      <c r="G6" s="31"/>
      <c r="H6" s="35"/>
      <c r="I6" s="40"/>
      <c r="J6" s="48"/>
      <c r="K6" s="50"/>
    </row>
    <row r="7">
      <c r="A7" s="53"/>
      <c r="B7" s="53"/>
      <c r="C7" s="57"/>
      <c r="D7" s="59"/>
      <c r="E7" s="59"/>
      <c r="F7" s="59"/>
      <c r="G7" s="53"/>
      <c r="H7" s="53"/>
      <c r="I7" s="61"/>
      <c r="J7" s="61"/>
      <c r="K7" s="61"/>
    </row>
    <row r="8">
      <c r="A8" s="19">
        <v>3.0</v>
      </c>
      <c r="B8" s="21"/>
      <c r="C8" s="22"/>
      <c r="D8" s="22"/>
      <c r="E8" s="22"/>
      <c r="F8" s="22"/>
      <c r="G8" s="31"/>
      <c r="H8" s="35"/>
      <c r="I8" s="40"/>
      <c r="J8" s="48"/>
      <c r="K8" s="50"/>
    </row>
    <row r="9">
      <c r="A9" s="53"/>
      <c r="B9" s="53"/>
      <c r="C9" s="57"/>
      <c r="D9" s="59"/>
      <c r="E9" s="59"/>
      <c r="F9" s="59"/>
      <c r="G9" s="53"/>
      <c r="H9" s="53"/>
      <c r="I9" s="61"/>
      <c r="J9" s="61"/>
      <c r="K9" s="61"/>
    </row>
    <row r="10">
      <c r="A10" s="19">
        <v>4.0</v>
      </c>
      <c r="B10" s="21"/>
      <c r="C10" s="22"/>
      <c r="D10" s="22"/>
      <c r="E10" s="22"/>
      <c r="F10" s="22"/>
      <c r="G10" s="31"/>
      <c r="H10" s="35"/>
      <c r="I10" s="40"/>
      <c r="J10" s="48"/>
      <c r="K10" s="50"/>
    </row>
    <row r="11">
      <c r="A11" s="53"/>
      <c r="B11" s="53"/>
      <c r="C11" s="57"/>
      <c r="D11" s="59"/>
      <c r="E11" s="59"/>
      <c r="F11" s="59"/>
      <c r="G11" s="53"/>
      <c r="H11" s="53"/>
      <c r="I11" s="61"/>
      <c r="J11" s="61"/>
      <c r="K11" s="61"/>
    </row>
    <row r="12">
      <c r="A12" s="19">
        <v>5.0</v>
      </c>
      <c r="B12" s="21"/>
      <c r="C12" s="22"/>
      <c r="D12" s="22"/>
      <c r="E12" s="22"/>
      <c r="F12" s="22"/>
      <c r="G12" s="31"/>
      <c r="H12" s="35"/>
      <c r="I12" s="40"/>
      <c r="J12" s="48"/>
      <c r="K12" s="50"/>
    </row>
    <row r="13">
      <c r="A13" s="53"/>
      <c r="B13" s="53"/>
      <c r="C13" s="57"/>
      <c r="D13" s="59"/>
      <c r="E13" s="59"/>
      <c r="F13" s="59"/>
      <c r="G13" s="53"/>
      <c r="H13" s="53"/>
      <c r="I13" s="61"/>
      <c r="J13" s="61"/>
      <c r="K13" s="61"/>
    </row>
    <row r="14">
      <c r="A14" s="19">
        <v>6.0</v>
      </c>
      <c r="B14" s="21"/>
      <c r="C14" s="22"/>
      <c r="D14" s="22"/>
      <c r="E14" s="22"/>
      <c r="F14" s="22"/>
      <c r="G14" s="31"/>
      <c r="H14" s="35"/>
      <c r="I14" s="40"/>
      <c r="J14" s="48"/>
      <c r="K14" s="50"/>
    </row>
    <row r="15">
      <c r="A15" s="53"/>
      <c r="B15" s="53"/>
      <c r="C15" s="57"/>
      <c r="D15" s="59"/>
      <c r="E15" s="59"/>
      <c r="F15" s="59"/>
      <c r="G15" s="53"/>
      <c r="H15" s="53"/>
      <c r="I15" s="61"/>
      <c r="J15" s="61"/>
      <c r="K15" s="61"/>
    </row>
    <row r="16">
      <c r="A16" s="19">
        <v>7.0</v>
      </c>
      <c r="B16" s="21"/>
      <c r="C16" s="22"/>
      <c r="D16" s="22"/>
      <c r="E16" s="22"/>
      <c r="F16" s="22"/>
      <c r="G16" s="31"/>
      <c r="H16" s="35"/>
      <c r="I16" s="40"/>
      <c r="J16" s="48"/>
      <c r="K16" s="50"/>
    </row>
    <row r="17">
      <c r="A17" s="53"/>
      <c r="B17" s="53"/>
      <c r="C17" s="57"/>
      <c r="D17" s="59"/>
      <c r="E17" s="59"/>
      <c r="F17" s="59"/>
      <c r="G17" s="53"/>
      <c r="H17" s="53"/>
      <c r="I17" s="61"/>
      <c r="J17" s="61"/>
      <c r="K17" s="61"/>
    </row>
    <row r="18">
      <c r="A18" s="19">
        <v>8.0</v>
      </c>
      <c r="B18" s="21"/>
      <c r="C18" s="22"/>
      <c r="D18" s="22"/>
      <c r="E18" s="22"/>
      <c r="F18" s="22"/>
      <c r="G18" s="31"/>
      <c r="H18" s="35"/>
      <c r="I18" s="40"/>
      <c r="J18" s="48"/>
      <c r="K18" s="50"/>
    </row>
    <row r="19">
      <c r="A19" s="53"/>
      <c r="B19" s="53"/>
      <c r="C19" s="57"/>
      <c r="D19" s="59"/>
      <c r="E19" s="59"/>
      <c r="F19" s="59"/>
      <c r="G19" s="53"/>
      <c r="H19" s="53"/>
      <c r="I19" s="61"/>
      <c r="J19" s="61"/>
      <c r="K19" s="61"/>
    </row>
  </sheetData>
  <mergeCells count="58">
    <mergeCell ref="A14:A15"/>
    <mergeCell ref="B14:B15"/>
    <mergeCell ref="G14:G15"/>
    <mergeCell ref="H14:H15"/>
    <mergeCell ref="I14:I15"/>
    <mergeCell ref="J14:J15"/>
    <mergeCell ref="K14:K15"/>
    <mergeCell ref="A16:A17"/>
    <mergeCell ref="B16:B17"/>
    <mergeCell ref="G16:G17"/>
    <mergeCell ref="H16:H17"/>
    <mergeCell ref="I16:I17"/>
    <mergeCell ref="J16:J17"/>
    <mergeCell ref="K16:K17"/>
    <mergeCell ref="J4:J5"/>
    <mergeCell ref="K4:K5"/>
    <mergeCell ref="A1:K2"/>
    <mergeCell ref="C3:F3"/>
    <mergeCell ref="A4:A5"/>
    <mergeCell ref="B4:B5"/>
    <mergeCell ref="G4:G5"/>
    <mergeCell ref="H4:H5"/>
    <mergeCell ref="I4:I5"/>
    <mergeCell ref="A6:A7"/>
    <mergeCell ref="B6:B7"/>
    <mergeCell ref="G6:G7"/>
    <mergeCell ref="H6:H7"/>
    <mergeCell ref="I6:I7"/>
    <mergeCell ref="J6:J7"/>
    <mergeCell ref="K6:K7"/>
    <mergeCell ref="A8:A9"/>
    <mergeCell ref="B8:B9"/>
    <mergeCell ref="G8:G9"/>
    <mergeCell ref="H8:H9"/>
    <mergeCell ref="I8:I9"/>
    <mergeCell ref="J8:J9"/>
    <mergeCell ref="K8:K9"/>
    <mergeCell ref="A10:A11"/>
    <mergeCell ref="B10:B11"/>
    <mergeCell ref="G10:G11"/>
    <mergeCell ref="H10:H11"/>
    <mergeCell ref="I10:I11"/>
    <mergeCell ref="J10:J11"/>
    <mergeCell ref="K10:K11"/>
    <mergeCell ref="A12:A13"/>
    <mergeCell ref="B12:B13"/>
    <mergeCell ref="G12:G13"/>
    <mergeCell ref="H12:H13"/>
    <mergeCell ref="I12:I13"/>
    <mergeCell ref="J12:J13"/>
    <mergeCell ref="K12:K13"/>
    <mergeCell ref="A18:A19"/>
    <mergeCell ref="B18:B19"/>
    <mergeCell ref="G18:G19"/>
    <mergeCell ref="H18:H19"/>
    <mergeCell ref="I18:I19"/>
    <mergeCell ref="J18:J19"/>
    <mergeCell ref="K18:K19"/>
  </mergeCells>
  <dataValidations>
    <dataValidation type="list" allowBlank="1" showErrorMessage="1" sqref="J4 J6 J8 J10 J12 J14 J16 J18">
      <formula1>"Lunas,Belum Bayar"</formula1>
    </dataValidation>
  </dataValidations>
  <drawing r:id="rId1"/>
</worksheet>
</file>